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АРХОМУС Склад Фактический " sheetId="1" r:id="rId4"/>
    <sheet name="U8 Образцы " sheetId="2" r:id="rId5"/>
    <sheet name="АРХОМУС NEW" sheetId="3" r:id="rId6"/>
    <sheet name="U8 Ткани " sheetId="4" r:id="rId7"/>
    <sheet name="U8 Фурнитура " sheetId="5" r:id="rId8"/>
    <sheet name="РОСКОСМОС" sheetId="6" r:id="rId9"/>
    <sheet name="АРМИЯ " sheetId="7" r:id="rId10"/>
  </sheets>
</workbook>
</file>

<file path=xl/sharedStrings.xml><?xml version="1.0" encoding="utf-8"?>
<sst xmlns="http://schemas.openxmlformats.org/spreadsheetml/2006/main" uniqueCount="116">
  <si>
    <t>АРХОМУС</t>
  </si>
  <si>
    <t>От 27.02.2026</t>
  </si>
  <si>
    <t>отчет создан:</t>
  </si>
  <si>
    <t>исполнитель:</t>
  </si>
  <si>
    <t>поставщик:</t>
  </si>
  <si>
    <t>По умолчанию содержит ARHOMUS</t>
  </si>
  <si>
    <t>остаток:</t>
  </si>
  <si>
    <t>Положительный</t>
  </si>
  <si>
    <t>Код</t>
  </si>
  <si>
    <t>Порядковый номер</t>
  </si>
  <si>
    <t>Cтатус</t>
  </si>
  <si>
    <t xml:space="preserve">Название </t>
  </si>
  <si>
    <t xml:space="preserve">Ткань </t>
  </si>
  <si>
    <t xml:space="preserve">Цвет / тип </t>
  </si>
  <si>
    <t>Количество</t>
  </si>
  <si>
    <t>Цена продажи</t>
  </si>
  <si>
    <t>Сумма продажи</t>
  </si>
  <si>
    <t>Отшито на производстве 1</t>
  </si>
  <si>
    <t xml:space="preserve">STARTER </t>
  </si>
  <si>
    <t>Жакет с капюшоном</t>
  </si>
  <si>
    <t>деним</t>
  </si>
  <si>
    <t xml:space="preserve">черный-гранж </t>
  </si>
  <si>
    <t>METALLER I</t>
  </si>
  <si>
    <t xml:space="preserve">Рубашка </t>
  </si>
  <si>
    <t>U8_принт серый</t>
  </si>
  <si>
    <t xml:space="preserve">TRACKER </t>
  </si>
  <si>
    <t xml:space="preserve">китель </t>
  </si>
  <si>
    <t>Коричневый</t>
  </si>
  <si>
    <t xml:space="preserve">ELEMENTER </t>
  </si>
  <si>
    <t>Рубашка-трансформер</t>
  </si>
  <si>
    <t>ARCHITECTURE</t>
  </si>
  <si>
    <t>Жакет-пальто</t>
  </si>
  <si>
    <t>QUANTER</t>
  </si>
  <si>
    <t>Кимоно</t>
  </si>
  <si>
    <t>STARTER II</t>
  </si>
  <si>
    <t xml:space="preserve">Жакет </t>
  </si>
  <si>
    <t xml:space="preserve">Серый </t>
  </si>
  <si>
    <t>METATRONER</t>
  </si>
  <si>
    <t>Кофта с капюшоном</t>
  </si>
  <si>
    <t>3х нитка</t>
  </si>
  <si>
    <t>Синий</t>
  </si>
  <si>
    <t>Крой с Москве</t>
  </si>
  <si>
    <t>ABSTRACTOR I</t>
  </si>
  <si>
    <t>Туника</t>
  </si>
  <si>
    <t>Белый + ART</t>
  </si>
  <si>
    <t xml:space="preserve">ABSTRACTOR II </t>
  </si>
  <si>
    <t>Черный + ART</t>
  </si>
  <si>
    <t>RELAXER</t>
  </si>
  <si>
    <t>Кофта с капюшоном + карабин</t>
  </si>
  <si>
    <t xml:space="preserve">белый </t>
  </si>
  <si>
    <t>AVATAR</t>
  </si>
  <si>
    <t>AVATAR III</t>
  </si>
  <si>
    <t>Туника=крестом</t>
  </si>
  <si>
    <t>Серый</t>
  </si>
  <si>
    <t xml:space="preserve">AVATAR II </t>
  </si>
  <si>
    <t>Лонгслив</t>
  </si>
  <si>
    <t>SAVER</t>
  </si>
  <si>
    <t xml:space="preserve">Кофта-хомут </t>
  </si>
  <si>
    <t xml:space="preserve">3х нитка </t>
  </si>
  <si>
    <t xml:space="preserve">Синий </t>
  </si>
  <si>
    <t>AVATAR IV</t>
  </si>
  <si>
    <t>Футболка-крестом</t>
  </si>
  <si>
    <t xml:space="preserve">AVATAR I </t>
  </si>
  <si>
    <t xml:space="preserve">Лонгслив </t>
  </si>
  <si>
    <t>2х нитка</t>
  </si>
  <si>
    <t>Разноцветные</t>
  </si>
  <si>
    <t>СODER</t>
  </si>
  <si>
    <t>Синтетика-сетка</t>
  </si>
  <si>
    <t>STREET SPIRIT</t>
  </si>
  <si>
    <t xml:space="preserve">Роза пыль </t>
  </si>
  <si>
    <t>VASTU ONE</t>
  </si>
  <si>
    <t>BAGGER</t>
  </si>
  <si>
    <t>Cумка</t>
  </si>
  <si>
    <t>Плащевка</t>
  </si>
  <si>
    <t>MASKER</t>
  </si>
  <si>
    <t>Балаклава</t>
  </si>
  <si>
    <t>Синтетика</t>
  </si>
  <si>
    <t>Оранжевый</t>
  </si>
  <si>
    <t>Сумка-дутая</t>
  </si>
  <si>
    <t>Плащевка + синтепон</t>
  </si>
  <si>
    <t>На производстве</t>
  </si>
  <si>
    <t>FIXXER</t>
  </si>
  <si>
    <t>Жилет-рюкзак</t>
  </si>
  <si>
    <t xml:space="preserve">JUNGLER </t>
  </si>
  <si>
    <t>Ветровка-рубашка</t>
  </si>
  <si>
    <t>U8 камуфляж</t>
  </si>
  <si>
    <t>MEETER</t>
  </si>
  <si>
    <t xml:space="preserve">Плащевка-синтепон </t>
  </si>
  <si>
    <t>U8 Принт синий</t>
  </si>
  <si>
    <t>WORLDER</t>
  </si>
  <si>
    <t>Кофта</t>
  </si>
  <si>
    <t>Золото</t>
  </si>
  <si>
    <t>ARCHITECTURE I</t>
  </si>
  <si>
    <t xml:space="preserve">Жилет </t>
  </si>
  <si>
    <t>ARCHITECTURE II</t>
  </si>
  <si>
    <t>Зеленый</t>
  </si>
  <si>
    <t>FREESTYLER</t>
  </si>
  <si>
    <t>Жакет-гибрид</t>
  </si>
  <si>
    <t>Деним+плащевка</t>
  </si>
  <si>
    <t>Зеленый+Черный</t>
  </si>
  <si>
    <t>AIR</t>
  </si>
  <si>
    <t>Ветровка</t>
  </si>
  <si>
    <t>GALAXER I</t>
  </si>
  <si>
    <t>Куртка-бомбер</t>
  </si>
  <si>
    <t>Мульти-Индиго</t>
  </si>
  <si>
    <t>GALAXER II</t>
  </si>
  <si>
    <t>Мульти-Хаки</t>
  </si>
  <si>
    <t>NEYRONER</t>
  </si>
  <si>
    <t>Cноуборд-комплект</t>
  </si>
  <si>
    <t>Желтый/Синий</t>
  </si>
  <si>
    <t>СUBER</t>
  </si>
  <si>
    <t>Пуховики</t>
  </si>
  <si>
    <t>Плащевка / только верх</t>
  </si>
  <si>
    <t>Итого:</t>
  </si>
  <si>
    <t>Table 1</t>
  </si>
  <si>
    <t>METEORA</t>
  </si>
</sst>
</file>

<file path=xl/styles.xml><?xml version="1.0" encoding="utf-8"?>
<styleSheet xmlns="http://schemas.openxmlformats.org/spreadsheetml/2006/main">
  <numFmts count="2">
    <numFmt numFmtId="0" formatCode="General"/>
    <numFmt numFmtId="59" formatCode="&quot;DD&quot;/mm/&quot;YYYY &quot;hh:mm:&quot;SS&quot;"/>
  </numFmts>
  <fonts count="10">
    <font>
      <sz val="10"/>
      <color indexed="8"/>
      <name val="Arial"/>
    </font>
    <font>
      <sz val="12"/>
      <color indexed="8"/>
      <name val="Helvetica Neue"/>
    </font>
    <font>
      <sz val="15"/>
      <color indexed="8"/>
      <name val="Calibri"/>
    </font>
    <font>
      <sz val="8"/>
      <color indexed="8"/>
      <name val="Arial"/>
    </font>
    <font>
      <b val="1"/>
      <i val="1"/>
      <sz val="16"/>
      <color indexed="8"/>
      <name val="Arial"/>
    </font>
    <font>
      <b val="1"/>
      <u val="single"/>
      <sz val="8"/>
      <color indexed="8"/>
      <name val="Arial"/>
    </font>
    <font>
      <b val="1"/>
      <sz val="8"/>
      <color indexed="8"/>
      <name val="Arial"/>
    </font>
    <font>
      <i val="1"/>
      <sz val="8"/>
      <color indexed="8"/>
      <name val="Arial"/>
    </font>
    <font>
      <sz val="15"/>
      <color indexed="8"/>
      <name val="Calibri"/>
    </font>
    <font>
      <b val="1"/>
      <sz val="10"/>
      <color indexed="8"/>
      <name val="Arial"/>
    </font>
  </fonts>
  <fills count="12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1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3"/>
        <bgColor auto="1"/>
      </patternFill>
    </fill>
    <fill>
      <patternFill patternType="solid">
        <fgColor indexed="14"/>
        <bgColor auto="1"/>
      </patternFill>
    </fill>
    <fill>
      <patternFill patternType="solid">
        <fgColor indexed="15"/>
        <bgColor auto="1"/>
      </patternFill>
    </fill>
    <fill>
      <patternFill patternType="solid">
        <fgColor indexed="16"/>
        <bgColor auto="1"/>
      </patternFill>
    </fill>
    <fill>
      <patternFill patternType="solid">
        <fgColor indexed="17"/>
        <bgColor auto="1"/>
      </patternFill>
    </fill>
    <fill>
      <patternFill patternType="solid">
        <fgColor indexed="19"/>
        <bgColor auto="1"/>
      </patternFill>
    </fill>
    <fill>
      <patternFill patternType="solid">
        <fgColor indexed="21"/>
        <bgColor auto="1"/>
      </patternFill>
    </fill>
  </fills>
  <borders count="22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8"/>
      </bottom>
      <diagonal/>
    </border>
    <border>
      <left style="thin">
        <color indexed="10"/>
      </left>
      <right style="thin">
        <color indexed="8"/>
      </right>
      <top style="thin">
        <color indexed="10"/>
      </top>
      <bottom style="thin">
        <color indexed="10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10"/>
      </left>
      <right style="thin">
        <color indexed="10"/>
      </right>
      <top style="thin">
        <color indexed="8"/>
      </top>
      <bottom style="thin">
        <color indexed="8"/>
      </bottom>
      <diagonal/>
    </border>
    <border>
      <left style="thin">
        <color indexed="10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10"/>
      </bottom>
      <diagonal/>
    </border>
    <border>
      <left style="thin">
        <color indexed="10"/>
      </left>
      <right style="thin">
        <color indexed="8"/>
      </right>
      <top style="thin">
        <color indexed="10"/>
      </top>
      <bottom style="thin">
        <color indexed="8"/>
      </bottom>
      <diagonal/>
    </border>
    <border>
      <left style="thin">
        <color indexed="10"/>
      </left>
      <right style="thin">
        <color indexed="10"/>
      </right>
      <top style="thin">
        <color indexed="8"/>
      </top>
      <bottom style="thin">
        <color indexed="10"/>
      </bottom>
      <diagonal/>
    </border>
    <border>
      <left style="thin">
        <color indexed="10"/>
      </left>
      <right style="thin">
        <color indexed="8"/>
      </right>
      <top style="thin">
        <color indexed="8"/>
      </top>
      <bottom style="thin">
        <color indexed="10"/>
      </bottom>
      <diagonal/>
    </border>
    <border>
      <left style="thin">
        <color indexed="10"/>
      </left>
      <right/>
      <top style="thin">
        <color indexed="10"/>
      </top>
      <bottom style="thin">
        <color indexed="18"/>
      </bottom>
      <diagonal/>
    </border>
    <border>
      <left/>
      <right/>
      <top style="thin">
        <color indexed="10"/>
      </top>
      <bottom style="thin">
        <color indexed="18"/>
      </bottom>
      <diagonal/>
    </border>
    <border>
      <left/>
      <right style="thin">
        <color indexed="10"/>
      </right>
      <top style="thin">
        <color indexed="10"/>
      </top>
      <bottom style="thin">
        <color indexed="18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8"/>
      </bottom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20"/>
      </bottom>
      <diagonal/>
    </border>
    <border>
      <left style="thin">
        <color indexed="18"/>
      </left>
      <right style="thin">
        <color indexed="20"/>
      </right>
      <top style="thin">
        <color indexed="20"/>
      </top>
      <bottom style="thin">
        <color indexed="18"/>
      </bottom>
      <diagonal/>
    </border>
    <border>
      <left style="thin">
        <color indexed="20"/>
      </left>
      <right style="thin">
        <color indexed="18"/>
      </right>
      <top style="thin">
        <color indexed="20"/>
      </top>
      <bottom style="thin">
        <color indexed="18"/>
      </bottom>
      <diagonal/>
    </border>
    <border>
      <left style="thin">
        <color indexed="18"/>
      </left>
      <right style="thin">
        <color indexed="18"/>
      </right>
      <top style="thin">
        <color indexed="20"/>
      </top>
      <bottom style="thin">
        <color indexed="18"/>
      </bottom>
      <diagonal/>
    </border>
    <border>
      <left style="thin">
        <color indexed="18"/>
      </left>
      <right style="thin">
        <color indexed="20"/>
      </right>
      <top style="thin">
        <color indexed="18"/>
      </top>
      <bottom style="thin">
        <color indexed="18"/>
      </bottom>
      <diagonal/>
    </border>
    <border>
      <left style="thin">
        <color indexed="20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112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fillId="2" borderId="1" applyNumberFormat="0" applyFont="1" applyFill="1" applyBorder="1" applyAlignment="1" applyProtection="0">
      <alignment vertical="center"/>
    </xf>
    <xf numFmtId="0" fontId="0" fillId="2" borderId="1" applyNumberFormat="0" applyFont="1" applyFill="1" applyBorder="1" applyAlignment="1" applyProtection="0">
      <alignment horizontal="center" vertical="center"/>
    </xf>
    <xf numFmtId="0" fontId="3" fillId="2" borderId="1" applyNumberFormat="0" applyFont="1" applyFill="1" applyBorder="1" applyAlignment="1" applyProtection="0">
      <alignment horizontal="center" vertical="center"/>
    </xf>
    <xf numFmtId="49" fontId="4" fillId="2" borderId="1" applyNumberFormat="1" applyFont="1" applyFill="1" applyBorder="1" applyAlignment="1" applyProtection="0">
      <alignment horizontal="center" vertical="center"/>
    </xf>
    <xf numFmtId="49" fontId="5" fillId="2" borderId="1" applyNumberFormat="1" applyFont="1" applyFill="1" applyBorder="1" applyAlignment="1" applyProtection="0">
      <alignment horizontal="center" vertical="center"/>
    </xf>
    <xf numFmtId="59" fontId="3" fillId="2" borderId="1" applyNumberFormat="1" applyFont="1" applyFill="1" applyBorder="1" applyAlignment="1" applyProtection="0">
      <alignment horizontal="center" vertical="center"/>
    </xf>
    <xf numFmtId="1" fontId="0" fillId="2" borderId="1" applyNumberFormat="1" applyFont="1" applyFill="1" applyBorder="1" applyAlignment="1" applyProtection="0">
      <alignment horizontal="center" vertical="center"/>
    </xf>
    <xf numFmtId="1" fontId="3" fillId="2" borderId="1" applyNumberFormat="1" applyFont="1" applyFill="1" applyBorder="1" applyAlignment="1" applyProtection="0">
      <alignment horizontal="center" vertical="center"/>
    </xf>
    <xf numFmtId="3" fontId="0" fillId="2" borderId="1" applyNumberFormat="1" applyFont="1" applyFill="1" applyBorder="1" applyAlignment="1" applyProtection="0">
      <alignment horizontal="center" vertical="center"/>
    </xf>
    <xf numFmtId="4" fontId="0" fillId="2" borderId="1" applyNumberFormat="1" applyFont="1" applyFill="1" applyBorder="1" applyAlignment="1" applyProtection="0">
      <alignment horizontal="center" vertical="center"/>
    </xf>
    <xf numFmtId="49" fontId="3" fillId="2" borderId="1" applyNumberFormat="1" applyFont="1" applyFill="1" applyBorder="1" applyAlignment="1" applyProtection="0">
      <alignment horizontal="center" vertical="center"/>
    </xf>
    <xf numFmtId="1" fontId="0" fillId="2" borderId="2" applyNumberFormat="1" applyFont="1" applyFill="1" applyBorder="1" applyAlignment="1" applyProtection="0">
      <alignment horizontal="center" vertical="center"/>
    </xf>
    <xf numFmtId="1" fontId="3" fillId="2" borderId="2" applyNumberFormat="1" applyFont="1" applyFill="1" applyBorder="1" applyAlignment="1" applyProtection="0">
      <alignment horizontal="center" vertical="center"/>
    </xf>
    <xf numFmtId="3" fontId="0" fillId="2" borderId="2" applyNumberFormat="1" applyFont="1" applyFill="1" applyBorder="1" applyAlignment="1" applyProtection="0">
      <alignment horizontal="center" vertical="center"/>
    </xf>
    <xf numFmtId="4" fontId="0" fillId="2" borderId="2" applyNumberFormat="1" applyFont="1" applyFill="1" applyBorder="1" applyAlignment="1" applyProtection="0">
      <alignment horizontal="center" vertical="center"/>
    </xf>
    <xf numFmtId="0" fontId="0" fillId="2" borderId="3" applyNumberFormat="0" applyFont="1" applyFill="1" applyBorder="1" applyAlignment="1" applyProtection="0">
      <alignment vertical="center"/>
    </xf>
    <xf numFmtId="49" fontId="6" fillId="3" borderId="4" applyNumberFormat="1" applyFont="1" applyFill="1" applyBorder="1" applyAlignment="1" applyProtection="0">
      <alignment horizontal="center" vertical="center"/>
    </xf>
    <xf numFmtId="49" fontId="6" fillId="3" borderId="4" applyNumberFormat="1" applyFont="1" applyFill="1" applyBorder="1" applyAlignment="1" applyProtection="0">
      <alignment horizontal="center" vertical="center" wrapText="1"/>
    </xf>
    <xf numFmtId="0" fontId="7" fillId="4" borderId="4" applyNumberFormat="0" applyFont="1" applyFill="1" applyBorder="1" applyAlignment="1" applyProtection="0">
      <alignment horizontal="center" vertical="center"/>
    </xf>
    <xf numFmtId="1" fontId="0" fillId="4" borderId="4" applyNumberFormat="1" applyFont="1" applyFill="1" applyBorder="1" applyAlignment="1" applyProtection="0">
      <alignment horizontal="center" vertical="center"/>
    </xf>
    <xf numFmtId="3" fontId="0" fillId="4" borderId="4" applyNumberFormat="1" applyFont="1" applyFill="1" applyBorder="1" applyAlignment="1" applyProtection="0">
      <alignment horizontal="center" vertical="center"/>
    </xf>
    <xf numFmtId="4" fontId="0" fillId="4" borderId="4" applyNumberFormat="1" applyFont="1" applyFill="1" applyBorder="1" applyAlignment="1" applyProtection="0">
      <alignment horizontal="center" vertical="center"/>
    </xf>
    <xf numFmtId="0" fontId="0" fillId="5" borderId="3" applyNumberFormat="0" applyFont="1" applyFill="1" applyBorder="1" applyAlignment="1" applyProtection="0">
      <alignment vertical="center"/>
    </xf>
    <xf numFmtId="1" fontId="0" fillId="5" borderId="4" applyNumberFormat="1" applyFont="1" applyFill="1" applyBorder="1" applyAlignment="1" applyProtection="0">
      <alignment horizontal="center" vertical="center"/>
    </xf>
    <xf numFmtId="1" fontId="3" fillId="5" borderId="4" applyNumberFormat="1" applyFont="1" applyFill="1" applyBorder="1" applyAlignment="1" applyProtection="0">
      <alignment horizontal="center" vertical="center"/>
    </xf>
    <xf numFmtId="49" fontId="0" fillId="5" borderId="4" applyNumberFormat="1" applyFont="1" applyFill="1" applyBorder="1" applyAlignment="1" applyProtection="0">
      <alignment horizontal="center" vertical="center"/>
    </xf>
    <xf numFmtId="3" fontId="0" fillId="5" borderId="4" applyNumberFormat="1" applyFont="1" applyFill="1" applyBorder="1" applyAlignment="1" applyProtection="0">
      <alignment horizontal="center" vertical="center"/>
    </xf>
    <xf numFmtId="4" fontId="0" fillId="5" borderId="4" applyNumberFormat="1" applyFont="1" applyFill="1" applyBorder="1" applyAlignment="1" applyProtection="0">
      <alignment horizontal="center" vertical="center"/>
    </xf>
    <xf numFmtId="0" fontId="7" fillId="5" borderId="4" applyNumberFormat="0" applyFont="1" applyFill="1" applyBorder="1" applyAlignment="1" applyProtection="0">
      <alignment horizontal="center" vertical="center"/>
    </xf>
    <xf numFmtId="1" fontId="7" fillId="5" borderId="4" applyNumberFormat="1" applyFont="1" applyFill="1" applyBorder="1" applyAlignment="1" applyProtection="0">
      <alignment horizontal="center" vertical="center"/>
    </xf>
    <xf numFmtId="49" fontId="0" fillId="5" borderId="4" applyNumberFormat="1" applyFont="1" applyFill="1" applyBorder="1" applyAlignment="1" applyProtection="0">
      <alignment horizontal="center" vertical="center" wrapText="1"/>
    </xf>
    <xf numFmtId="0" fontId="0" fillId="5" borderId="1" applyNumberFormat="0" applyFont="1" applyFill="1" applyBorder="1" applyAlignment="1" applyProtection="0">
      <alignment vertical="center"/>
    </xf>
    <xf numFmtId="0" fontId="0" fillId="5" borderId="5" applyNumberFormat="0" applyFont="1" applyFill="1" applyBorder="1" applyAlignment="1" applyProtection="0">
      <alignment horizontal="center" vertical="center"/>
    </xf>
    <xf numFmtId="0" fontId="3" fillId="5" borderId="5" applyNumberFormat="1" applyFont="1" applyFill="1" applyBorder="1" applyAlignment="1" applyProtection="0">
      <alignment horizontal="center" vertical="center"/>
    </xf>
    <xf numFmtId="49" fontId="0" fillId="5" borderId="5" applyNumberFormat="1" applyFont="1" applyFill="1" applyBorder="1" applyAlignment="1" applyProtection="0">
      <alignment horizontal="center" vertical="center"/>
    </xf>
    <xf numFmtId="49" fontId="0" fillId="5" borderId="6" applyNumberFormat="1" applyFont="1" applyFill="1" applyBorder="1" applyAlignment="1" applyProtection="0">
      <alignment horizontal="center" vertical="center" wrapText="1"/>
    </xf>
    <xf numFmtId="0" fontId="0" fillId="6" borderId="1" applyNumberFormat="0" applyFont="1" applyFill="1" applyBorder="1" applyAlignment="1" applyProtection="0">
      <alignment vertical="center"/>
    </xf>
    <xf numFmtId="0" fontId="0" fillId="6" borderId="5" applyNumberFormat="0" applyFont="1" applyFill="1" applyBorder="1" applyAlignment="1" applyProtection="0">
      <alignment horizontal="center" vertical="center"/>
    </xf>
    <xf numFmtId="0" fontId="3" fillId="6" borderId="5" applyNumberFormat="0" applyFont="1" applyFill="1" applyBorder="1" applyAlignment="1" applyProtection="0">
      <alignment horizontal="center" vertical="center"/>
    </xf>
    <xf numFmtId="49" fontId="0" fillId="6" borderId="6" applyNumberFormat="1" applyFont="1" applyFill="1" applyBorder="1" applyAlignment="1" applyProtection="0">
      <alignment horizontal="center" vertical="center" wrapText="1"/>
    </xf>
    <xf numFmtId="3" fontId="0" fillId="6" borderId="4" applyNumberFormat="1" applyFont="1" applyFill="1" applyBorder="1" applyAlignment="1" applyProtection="0">
      <alignment horizontal="center" vertical="center"/>
    </xf>
    <xf numFmtId="4" fontId="0" fillId="6" borderId="4" applyNumberFormat="1" applyFont="1" applyFill="1" applyBorder="1" applyAlignment="1" applyProtection="0">
      <alignment horizontal="center" vertical="center"/>
    </xf>
    <xf numFmtId="0" fontId="0" fillId="7" borderId="1" applyNumberFormat="0" applyFont="1" applyFill="1" applyBorder="1" applyAlignment="1" applyProtection="0">
      <alignment vertical="center"/>
    </xf>
    <xf numFmtId="0" fontId="0" fillId="7" borderId="5" applyNumberFormat="0" applyFont="1" applyFill="1" applyBorder="1" applyAlignment="1" applyProtection="0">
      <alignment horizontal="center" vertical="center"/>
    </xf>
    <xf numFmtId="0" fontId="3" fillId="7" borderId="5" applyNumberFormat="1" applyFont="1" applyFill="1" applyBorder="1" applyAlignment="1" applyProtection="0">
      <alignment horizontal="center" vertical="center"/>
    </xf>
    <xf numFmtId="49" fontId="0" fillId="7" borderId="5" applyNumberFormat="1" applyFont="1" applyFill="1" applyBorder="1" applyAlignment="1" applyProtection="0">
      <alignment horizontal="center" vertical="center"/>
    </xf>
    <xf numFmtId="49" fontId="0" fillId="7" borderId="6" applyNumberFormat="1" applyFont="1" applyFill="1" applyBorder="1" applyAlignment="1" applyProtection="0">
      <alignment horizontal="center" vertical="center" wrapText="1"/>
    </xf>
    <xf numFmtId="49" fontId="0" fillId="7" borderId="4" applyNumberFormat="1" applyFont="1" applyFill="1" applyBorder="1" applyAlignment="1" applyProtection="0">
      <alignment horizontal="center" vertical="center"/>
    </xf>
    <xf numFmtId="3" fontId="0" fillId="7" borderId="4" applyNumberFormat="1" applyFont="1" applyFill="1" applyBorder="1" applyAlignment="1" applyProtection="0">
      <alignment horizontal="center" vertical="center"/>
    </xf>
    <xf numFmtId="4" fontId="0" fillId="7" borderId="4" applyNumberFormat="1" applyFont="1" applyFill="1" applyBorder="1" applyAlignment="1" applyProtection="0">
      <alignment horizontal="center" vertical="center"/>
    </xf>
    <xf numFmtId="0" fontId="0" fillId="7" borderId="3" applyNumberFormat="0" applyFont="1" applyFill="1" applyBorder="1" applyAlignment="1" applyProtection="0">
      <alignment vertical="center"/>
    </xf>
    <xf numFmtId="1" fontId="0" fillId="7" borderId="4" applyNumberFormat="1" applyFont="1" applyFill="1" applyBorder="1" applyAlignment="1" applyProtection="0">
      <alignment horizontal="center" vertical="center"/>
    </xf>
    <xf numFmtId="1" fontId="3" fillId="7" borderId="4" applyNumberFormat="1" applyFont="1" applyFill="1" applyBorder="1" applyAlignment="1" applyProtection="0">
      <alignment horizontal="center" vertical="center"/>
    </xf>
    <xf numFmtId="49" fontId="0" fillId="7" borderId="7" applyNumberFormat="1" applyFont="1" applyFill="1" applyBorder="1" applyAlignment="1" applyProtection="0">
      <alignment horizontal="center" vertical="center"/>
    </xf>
    <xf numFmtId="49" fontId="0" fillId="7" borderId="8" applyNumberFormat="1" applyFont="1" applyFill="1" applyBorder="1" applyAlignment="1" applyProtection="0">
      <alignment horizontal="center" vertical="center" wrapText="1"/>
    </xf>
    <xf numFmtId="49" fontId="0" fillId="7" borderId="4" applyNumberFormat="1" applyFont="1" applyFill="1" applyBorder="1" applyAlignment="1" applyProtection="0">
      <alignment horizontal="center" vertical="center" wrapText="1"/>
    </xf>
    <xf numFmtId="0" fontId="0" fillId="6" borderId="3" applyNumberFormat="0" applyFont="1" applyFill="1" applyBorder="1" applyAlignment="1" applyProtection="0">
      <alignment vertical="center"/>
    </xf>
    <xf numFmtId="1" fontId="0" fillId="6" borderId="4" applyNumberFormat="1" applyFont="1" applyFill="1" applyBorder="1" applyAlignment="1" applyProtection="0">
      <alignment horizontal="center" vertical="center"/>
    </xf>
    <xf numFmtId="1" fontId="3" fillId="6" borderId="4" applyNumberFormat="1" applyFont="1" applyFill="1" applyBorder="1" applyAlignment="1" applyProtection="0">
      <alignment horizontal="center" vertical="center"/>
    </xf>
    <xf numFmtId="0" fontId="0" fillId="6" borderId="4" applyNumberFormat="0" applyFont="1" applyFill="1" applyBorder="1" applyAlignment="1" applyProtection="0">
      <alignment horizontal="center" vertical="center"/>
    </xf>
    <xf numFmtId="49" fontId="0" fillId="6" borderId="4" applyNumberFormat="1" applyFont="1" applyFill="1" applyBorder="1" applyAlignment="1" applyProtection="0">
      <alignment horizontal="center" vertical="center"/>
    </xf>
    <xf numFmtId="0" fontId="0" fillId="8" borderId="3" applyNumberFormat="0" applyFont="1" applyFill="1" applyBorder="1" applyAlignment="1" applyProtection="0">
      <alignment vertical="center"/>
    </xf>
    <xf numFmtId="1" fontId="0" fillId="8" borderId="4" applyNumberFormat="1" applyFont="1" applyFill="1" applyBorder="1" applyAlignment="1" applyProtection="0">
      <alignment horizontal="center" vertical="center"/>
    </xf>
    <xf numFmtId="1" fontId="3" fillId="8" borderId="4" applyNumberFormat="1" applyFont="1" applyFill="1" applyBorder="1" applyAlignment="1" applyProtection="0">
      <alignment horizontal="center" vertical="center"/>
    </xf>
    <xf numFmtId="49" fontId="0" fillId="8" borderId="4" applyNumberFormat="1" applyFont="1" applyFill="1" applyBorder="1" applyAlignment="1" applyProtection="0">
      <alignment horizontal="center" vertical="center"/>
    </xf>
    <xf numFmtId="3" fontId="0" fillId="8" borderId="4" applyNumberFormat="1" applyFont="1" applyFill="1" applyBorder="1" applyAlignment="1" applyProtection="0">
      <alignment horizontal="center" vertical="center"/>
    </xf>
    <xf numFmtId="4" fontId="0" fillId="8" borderId="4" applyNumberFormat="1" applyFont="1" applyFill="1" applyBorder="1" applyAlignment="1" applyProtection="0">
      <alignment horizontal="center" vertical="center"/>
    </xf>
    <xf numFmtId="0" fontId="7" fillId="8" borderId="4" applyNumberFormat="0" applyFont="1" applyFill="1" applyBorder="1" applyAlignment="1" applyProtection="0">
      <alignment horizontal="center" vertical="center"/>
    </xf>
    <xf numFmtId="1" fontId="7" fillId="8" borderId="4" applyNumberFormat="1" applyFont="1" applyFill="1" applyBorder="1" applyAlignment="1" applyProtection="0">
      <alignment horizontal="center" vertical="center"/>
    </xf>
    <xf numFmtId="0" fontId="0" fillId="9" borderId="3" applyNumberFormat="0" applyFont="1" applyFill="1" applyBorder="1" applyAlignment="1" applyProtection="0">
      <alignment vertical="center"/>
    </xf>
    <xf numFmtId="1" fontId="0" fillId="9" borderId="4" applyNumberFormat="1" applyFont="1" applyFill="1" applyBorder="1" applyAlignment="1" applyProtection="0">
      <alignment horizontal="center" vertical="center"/>
    </xf>
    <xf numFmtId="1" fontId="3" fillId="9" borderId="4" applyNumberFormat="1" applyFont="1" applyFill="1" applyBorder="1" applyAlignment="1" applyProtection="0">
      <alignment horizontal="center" vertical="center"/>
    </xf>
    <xf numFmtId="49" fontId="0" fillId="9" borderId="4" applyNumberFormat="1" applyFont="1" applyFill="1" applyBorder="1" applyAlignment="1" applyProtection="0">
      <alignment horizontal="center" vertical="center"/>
    </xf>
    <xf numFmtId="49" fontId="0" fillId="9" borderId="4" applyNumberFormat="1" applyFont="1" applyFill="1" applyBorder="1" applyAlignment="1" applyProtection="0">
      <alignment horizontal="center" vertical="center" wrapText="1"/>
    </xf>
    <xf numFmtId="3" fontId="0" fillId="9" borderId="4" applyNumberFormat="1" applyFont="1" applyFill="1" applyBorder="1" applyAlignment="1" applyProtection="0">
      <alignment horizontal="center" vertical="center"/>
    </xf>
    <xf numFmtId="4" fontId="0" fillId="9" borderId="4" applyNumberFormat="1" applyFont="1" applyFill="1" applyBorder="1" applyAlignment="1" applyProtection="0">
      <alignment horizontal="center" vertical="center"/>
    </xf>
    <xf numFmtId="49" fontId="0" fillId="6" borderId="4" applyNumberFormat="1" applyFont="1" applyFill="1" applyBorder="1" applyAlignment="1" applyProtection="0">
      <alignment horizontal="center" vertical="center" wrapText="1"/>
    </xf>
    <xf numFmtId="0" fontId="0" fillId="6" borderId="9" applyNumberFormat="0" applyFont="1" applyFill="1" applyBorder="1" applyAlignment="1" applyProtection="0">
      <alignment horizontal="center" vertical="center"/>
    </xf>
    <xf numFmtId="0" fontId="3" fillId="6" borderId="9" applyNumberFormat="0" applyFont="1" applyFill="1" applyBorder="1" applyAlignment="1" applyProtection="0">
      <alignment horizontal="center" vertical="center"/>
    </xf>
    <xf numFmtId="49" fontId="6" fillId="6" borderId="10" applyNumberFormat="1" applyFont="1" applyFill="1" applyBorder="1" applyAlignment="1" applyProtection="0">
      <alignment horizontal="center" vertical="center"/>
    </xf>
    <xf numFmtId="3" fontId="6" fillId="6" borderId="4" applyNumberFormat="1" applyFont="1" applyFill="1" applyBorder="1" applyAlignment="1" applyProtection="0">
      <alignment horizontal="center" vertical="center"/>
    </xf>
    <xf numFmtId="4" fontId="6" fillId="6" borderId="4" applyNumberFormat="1" applyFont="1" applyFill="1" applyBorder="1" applyAlignment="1" applyProtection="0">
      <alignment horizontal="center" vertical="center"/>
    </xf>
    <xf numFmtId="0" fontId="0" applyNumberFormat="1" applyFont="1" applyFill="0" applyBorder="0" applyAlignment="1" applyProtection="0">
      <alignment vertical="bottom"/>
    </xf>
    <xf numFmtId="49" fontId="8" fillId="2" borderId="11" applyNumberFormat="1" applyFont="1" applyFill="1" applyBorder="1" applyAlignment="1" applyProtection="0">
      <alignment horizontal="center" vertical="center"/>
    </xf>
    <xf numFmtId="0" fontId="8" fillId="2" borderId="12" applyNumberFormat="0" applyFont="1" applyFill="1" applyBorder="1" applyAlignment="1" applyProtection="0">
      <alignment horizontal="center" vertical="center"/>
    </xf>
    <xf numFmtId="0" fontId="8" fillId="2" borderId="13" applyNumberFormat="0" applyFont="1" applyFill="1" applyBorder="1" applyAlignment="1" applyProtection="0">
      <alignment horizontal="center" vertical="center"/>
    </xf>
    <xf numFmtId="49" fontId="8" fillId="2" borderId="14" applyNumberFormat="1" applyFont="1" applyFill="1" applyBorder="1" applyAlignment="1" applyProtection="0">
      <alignment horizontal="center" vertical="center"/>
    </xf>
    <xf numFmtId="0" fontId="9" fillId="10" borderId="15" applyNumberFormat="0" applyFont="1" applyFill="1" applyBorder="1" applyAlignment="1" applyProtection="0">
      <alignment vertical="bottom"/>
    </xf>
    <xf numFmtId="0" fontId="9" fillId="11" borderId="16" applyNumberFormat="0" applyFont="1" applyFill="1" applyBorder="1" applyAlignment="1" applyProtection="0">
      <alignment vertical="bottom"/>
    </xf>
    <xf numFmtId="0" fontId="0" fillId="2" borderId="17" applyNumberFormat="0" applyFont="1" applyFill="1" applyBorder="1" applyAlignment="1" applyProtection="0">
      <alignment vertical="bottom"/>
    </xf>
    <xf numFmtId="0" fontId="0" fillId="2" borderId="18" applyNumberFormat="0" applyFont="1" applyFill="1" applyBorder="1" applyAlignment="1" applyProtection="0">
      <alignment vertical="bottom"/>
    </xf>
    <xf numFmtId="0" fontId="9" fillId="11" borderId="19" applyNumberFormat="0" applyFont="1" applyFill="1" applyBorder="1" applyAlignment="1" applyProtection="0">
      <alignment vertical="bottom"/>
    </xf>
    <xf numFmtId="0" fontId="0" fillId="2" borderId="20" applyNumberFormat="0" applyFont="1" applyFill="1" applyBorder="1" applyAlignment="1" applyProtection="0">
      <alignment vertical="bottom"/>
    </xf>
    <xf numFmtId="0" fontId="0" fillId="2" borderId="21" applyNumberFormat="0" applyFont="1" applyFill="1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1" fontId="0" fillId="2" borderId="4" applyNumberFormat="1" applyFont="1" applyFill="1" applyBorder="1" applyAlignment="1" applyProtection="0">
      <alignment horizontal="center" vertical="center"/>
    </xf>
    <xf numFmtId="1" fontId="3" fillId="2" borderId="4" applyNumberFormat="1" applyFont="1" applyFill="1" applyBorder="1" applyAlignment="1" applyProtection="0">
      <alignment horizontal="center" vertical="center"/>
    </xf>
    <xf numFmtId="0" fontId="0" fillId="2" borderId="4" applyNumberFormat="0" applyFont="1" applyFill="1" applyBorder="1" applyAlignment="1" applyProtection="0">
      <alignment horizontal="center" vertical="center"/>
    </xf>
    <xf numFmtId="49" fontId="0" fillId="2" borderId="4" applyNumberFormat="1" applyFont="1" applyFill="1" applyBorder="1" applyAlignment="1" applyProtection="0">
      <alignment horizontal="center" vertical="center"/>
    </xf>
    <xf numFmtId="3" fontId="0" fillId="2" borderId="4" applyNumberFormat="1" applyFont="1" applyFill="1" applyBorder="1" applyAlignment="1" applyProtection="0">
      <alignment horizontal="center" vertical="center"/>
    </xf>
    <xf numFmtId="4" fontId="0" fillId="2" borderId="4" applyNumberFormat="1" applyFont="1" applyFill="1" applyBorder="1" applyAlignment="1" applyProtection="0">
      <alignment horizontal="center" vertical="center"/>
    </xf>
    <xf numFmtId="0" fontId="0" fillId="2" borderId="9" applyNumberFormat="0" applyFont="1" applyFill="1" applyBorder="1" applyAlignment="1" applyProtection="0">
      <alignment horizontal="center" vertical="center"/>
    </xf>
    <xf numFmtId="0" fontId="3" fillId="2" borderId="9" applyNumberFormat="0" applyFont="1" applyFill="1" applyBorder="1" applyAlignment="1" applyProtection="0">
      <alignment horizontal="center" vertical="center"/>
    </xf>
    <xf numFmtId="49" fontId="6" fillId="2" borderId="10" applyNumberFormat="1" applyFont="1" applyFill="1" applyBorder="1" applyAlignment="1" applyProtection="0">
      <alignment horizontal="center" vertical="center"/>
    </xf>
    <xf numFmtId="3" fontId="6" fillId="2" borderId="4" applyNumberFormat="1" applyFont="1" applyFill="1" applyBorder="1" applyAlignment="1" applyProtection="0">
      <alignment horizontal="center" vertical="center"/>
    </xf>
    <xf numFmtId="4" fontId="6" fillId="2" borderId="4" applyNumberFormat="1" applyFont="1" applyFill="1" applyBorder="1" applyAlignment="1" applyProtection="0">
      <alignment horizontal="center" vertical="center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  <rgbColor rgb="ffc0c0c0"/>
      <rgbColor rgb="ffe6e6e6"/>
      <rgbColor rgb="fff79646"/>
      <rgbColor rgb="ff7c9547"/>
      <rgbColor rgb="ffc0504d"/>
      <rgbColor rgb="ff3f6797"/>
      <rgbColor rgb="ffa7c0de"/>
      <rgbColor rgb="ffa5a5a5"/>
      <rgbColor rgb="ffbdc0bf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Offic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B2:M52"/>
  <sheetViews>
    <sheetView workbookViewId="0" showGridLines="0" defaultGridColor="1"/>
  </sheetViews>
  <sheetFormatPr defaultColWidth="7.83333" defaultRowHeight="14.65" customHeight="1" outlineLevelRow="0" outlineLevelCol="0"/>
  <cols>
    <col min="1" max="1" width="11.9922" style="1" customWidth="1"/>
    <col min="2" max="2" width="5.53906" style="1" customWidth="1"/>
    <col min="3" max="3" width="23.8516" style="1" customWidth="1"/>
    <col min="4" max="4" width="22.8906" style="1" customWidth="1"/>
    <col min="5" max="5" width="24.5938" style="1" customWidth="1"/>
    <col min="6" max="6" width="32.1406" style="1" customWidth="1"/>
    <col min="7" max="7" width="28.0938" style="1" customWidth="1"/>
    <col min="8" max="8" width="22.4922" style="1" customWidth="1"/>
    <col min="9" max="9" width="18.0938" style="1" customWidth="1"/>
    <col min="10" max="10" width="7.35156" style="1" customWidth="1"/>
    <col min="11" max="12" width="10.6719" style="1" customWidth="1"/>
    <col min="13" max="13" width="17.8828" style="1" customWidth="1"/>
    <col min="14" max="16384" width="7.85156" style="1" customWidth="1"/>
  </cols>
  <sheetData>
    <row r="1" ht="32.7" customHeight="1"/>
    <row r="2" ht="15.6" customHeight="1">
      <c r="B2" s="2"/>
      <c r="C2" s="3"/>
      <c r="D2" s="4"/>
      <c r="E2" s="3"/>
      <c r="F2" s="3"/>
      <c r="G2" s="3"/>
      <c r="H2" s="3"/>
      <c r="I2" s="3"/>
      <c r="J2" s="3"/>
      <c r="K2" s="3"/>
      <c r="L2" s="3"/>
      <c r="M2" s="3"/>
    </row>
    <row r="3" ht="23.35" customHeight="1">
      <c r="B3" s="2"/>
      <c r="C3" t="s" s="5">
        <v>0</v>
      </c>
      <c r="D3" t="s" s="5">
        <v>1</v>
      </c>
      <c r="E3" s="3"/>
      <c r="F3" s="3"/>
      <c r="G3" s="3"/>
      <c r="H3" s="3"/>
      <c r="I3" s="3"/>
      <c r="J3" s="3"/>
      <c r="K3" s="3"/>
      <c r="L3" s="3"/>
      <c r="M3" s="3"/>
    </row>
    <row r="4" ht="13.55" customHeight="1">
      <c r="B4" s="2"/>
      <c r="C4" s="3"/>
      <c r="D4" s="4"/>
      <c r="E4" t="s" s="6">
        <v>2</v>
      </c>
      <c r="F4" s="7">
        <v>46053</v>
      </c>
      <c r="G4" s="3"/>
      <c r="H4" s="3"/>
      <c r="I4" s="3"/>
      <c r="J4" s="3"/>
      <c r="K4" s="3"/>
      <c r="L4" s="3"/>
      <c r="M4" s="3"/>
    </row>
    <row r="5" ht="13.55" customHeight="1">
      <c r="B5" s="2"/>
      <c r="C5" s="3"/>
      <c r="D5" s="4"/>
      <c r="E5" t="s" s="6">
        <v>3</v>
      </c>
      <c r="F5" s="4"/>
      <c r="G5" s="3"/>
      <c r="H5" s="3"/>
      <c r="I5" s="3"/>
      <c r="J5" s="3"/>
      <c r="K5" s="3"/>
      <c r="L5" s="3"/>
      <c r="M5" s="3"/>
    </row>
    <row r="6" ht="9.15" customHeight="1">
      <c r="B6" s="2"/>
      <c r="C6" s="3"/>
      <c r="D6" s="4"/>
      <c r="E6" s="3"/>
      <c r="F6" s="3"/>
      <c r="G6" s="3"/>
      <c r="H6" s="3"/>
      <c r="I6" s="3"/>
      <c r="J6" s="3"/>
      <c r="K6" s="3"/>
      <c r="L6" s="3"/>
      <c r="M6" s="3"/>
    </row>
    <row r="7" ht="13.55" customHeight="1">
      <c r="B7" s="2"/>
      <c r="C7" s="8"/>
      <c r="D7" s="9"/>
      <c r="E7" s="8"/>
      <c r="F7" s="8"/>
      <c r="G7" s="10"/>
      <c r="H7" s="10"/>
      <c r="I7" s="10"/>
      <c r="J7" s="10"/>
      <c r="K7" s="11"/>
      <c r="L7" s="11"/>
      <c r="M7" s="11"/>
    </row>
    <row r="8" ht="13.55" customHeight="1">
      <c r="B8" s="2"/>
      <c r="C8" s="8"/>
      <c r="D8" s="9"/>
      <c r="E8" t="s" s="6">
        <v>4</v>
      </c>
      <c r="F8" t="s" s="12">
        <v>5</v>
      </c>
      <c r="G8" s="10"/>
      <c r="H8" s="10"/>
      <c r="I8" s="10"/>
      <c r="J8" s="10"/>
      <c r="K8" s="11"/>
      <c r="L8" s="11"/>
      <c r="M8" s="11"/>
    </row>
    <row r="9" ht="15.1" customHeight="1">
      <c r="B9" s="2"/>
      <c r="C9" s="8"/>
      <c r="D9" s="9"/>
      <c r="E9" t="s" s="6">
        <v>6</v>
      </c>
      <c r="F9" t="s" s="12">
        <v>7</v>
      </c>
      <c r="G9" s="10"/>
      <c r="H9" s="10"/>
      <c r="I9" s="10"/>
      <c r="J9" s="10"/>
      <c r="K9" s="11"/>
      <c r="L9" s="11"/>
      <c r="M9" s="11"/>
    </row>
    <row r="10" ht="15.1" customHeight="1">
      <c r="B10" s="2"/>
      <c r="C10" s="13"/>
      <c r="D10" s="14"/>
      <c r="E10" s="13"/>
      <c r="F10" s="13"/>
      <c r="G10" s="15"/>
      <c r="H10" s="15"/>
      <c r="I10" s="15"/>
      <c r="J10" s="15"/>
      <c r="K10" s="16"/>
      <c r="L10" s="16"/>
      <c r="M10" s="16"/>
    </row>
    <row r="11" ht="23.65" customHeight="1">
      <c r="B11" s="17"/>
      <c r="C11" t="s" s="18">
        <v>8</v>
      </c>
      <c r="D11" t="s" s="18">
        <v>9</v>
      </c>
      <c r="E11" t="s" s="18">
        <v>10</v>
      </c>
      <c r="F11" t="s" s="18">
        <v>11</v>
      </c>
      <c r="G11" s="18"/>
      <c r="H11" t="s" s="18">
        <v>12</v>
      </c>
      <c r="I11" t="s" s="18">
        <v>13</v>
      </c>
      <c r="J11" t="s" s="18">
        <v>14</v>
      </c>
      <c r="K11" t="s" s="19">
        <v>15</v>
      </c>
      <c r="L11" t="s" s="19">
        <v>16</v>
      </c>
      <c r="M11" s="19"/>
    </row>
    <row r="12" ht="11.65" customHeight="1">
      <c r="B12" s="17"/>
      <c r="C12" s="20"/>
      <c r="D12" s="20"/>
      <c r="E12" s="21"/>
      <c r="F12" s="21"/>
      <c r="G12" s="22"/>
      <c r="H12" s="22"/>
      <c r="I12" s="22"/>
      <c r="J12" s="22"/>
      <c r="K12" s="23"/>
      <c r="L12" s="23"/>
      <c r="M12" s="23"/>
    </row>
    <row r="13" ht="15.6" customHeight="1">
      <c r="B13" s="24"/>
      <c r="C13" s="25"/>
      <c r="D13" s="26">
        <v>1</v>
      </c>
      <c r="E13" t="s" s="27">
        <v>17</v>
      </c>
      <c r="F13" t="s" s="27">
        <v>18</v>
      </c>
      <c r="G13" t="s" s="27">
        <v>19</v>
      </c>
      <c r="H13" t="s" s="27">
        <v>20</v>
      </c>
      <c r="I13" t="s" s="27">
        <v>21</v>
      </c>
      <c r="J13" s="28">
        <v>8</v>
      </c>
      <c r="K13" s="29">
        <v>288000</v>
      </c>
      <c r="L13" s="29">
        <f>K13*J13</f>
        <v>2304000</v>
      </c>
      <c r="M13" s="29"/>
    </row>
    <row r="14" ht="15.6" customHeight="1">
      <c r="B14" s="24"/>
      <c r="C14" s="30"/>
      <c r="D14" s="31">
        <v>2</v>
      </c>
      <c r="E14" t="s" s="27">
        <v>17</v>
      </c>
      <c r="F14" t="s" s="27">
        <v>22</v>
      </c>
      <c r="G14" t="s" s="27">
        <v>23</v>
      </c>
      <c r="H14" t="s" s="27">
        <v>20</v>
      </c>
      <c r="I14" t="s" s="27">
        <v>24</v>
      </c>
      <c r="J14" s="28">
        <v>7</v>
      </c>
      <c r="K14" s="29">
        <v>108000</v>
      </c>
      <c r="L14" s="29">
        <f>K14*J14</f>
        <v>756000</v>
      </c>
      <c r="M14" s="29"/>
    </row>
    <row r="15" ht="15.6" customHeight="1">
      <c r="B15" s="24"/>
      <c r="C15" s="25"/>
      <c r="D15" s="26">
        <v>3</v>
      </c>
      <c r="E15" t="s" s="27">
        <v>17</v>
      </c>
      <c r="F15" t="s" s="27">
        <v>25</v>
      </c>
      <c r="G15" t="s" s="27">
        <v>26</v>
      </c>
      <c r="H15" t="s" s="27">
        <v>20</v>
      </c>
      <c r="I15" t="s" s="27">
        <v>27</v>
      </c>
      <c r="J15" s="28">
        <v>5</v>
      </c>
      <c r="K15" s="29">
        <v>188000</v>
      </c>
      <c r="L15" s="29">
        <f>K15*J15</f>
        <v>940000</v>
      </c>
      <c r="M15" s="29"/>
    </row>
    <row r="16" ht="15.6" customHeight="1">
      <c r="B16" s="24"/>
      <c r="C16" s="25"/>
      <c r="D16" s="26">
        <v>4</v>
      </c>
      <c r="E16" t="s" s="27">
        <v>17</v>
      </c>
      <c r="F16" t="s" s="32">
        <v>28</v>
      </c>
      <c r="G16" t="s" s="27">
        <v>29</v>
      </c>
      <c r="H16" t="s" s="27">
        <v>20</v>
      </c>
      <c r="I16" t="s" s="27">
        <v>27</v>
      </c>
      <c r="J16" s="28">
        <v>5</v>
      </c>
      <c r="K16" s="29">
        <v>188000</v>
      </c>
      <c r="L16" s="29">
        <f>K16*J16</f>
        <v>940000</v>
      </c>
      <c r="M16" s="29"/>
    </row>
    <row r="17" ht="15.6" customHeight="1">
      <c r="B17" s="24"/>
      <c r="C17" s="25"/>
      <c r="D17" s="26">
        <v>5</v>
      </c>
      <c r="E17" t="s" s="27">
        <v>17</v>
      </c>
      <c r="F17" t="s" s="27">
        <v>30</v>
      </c>
      <c r="G17" t="s" s="27">
        <v>31</v>
      </c>
      <c r="H17" t="s" s="27">
        <v>20</v>
      </c>
      <c r="I17" t="s" s="27">
        <v>24</v>
      </c>
      <c r="J17" s="28">
        <v>5</v>
      </c>
      <c r="K17" s="29">
        <v>188000</v>
      </c>
      <c r="L17" s="29">
        <f>K17*J17</f>
        <v>940000</v>
      </c>
      <c r="M17" s="29"/>
    </row>
    <row r="18" ht="15.6" customHeight="1">
      <c r="B18" s="24"/>
      <c r="C18" s="25"/>
      <c r="D18" s="26">
        <v>6</v>
      </c>
      <c r="E18" t="s" s="27">
        <v>17</v>
      </c>
      <c r="F18" t="s" s="27">
        <v>32</v>
      </c>
      <c r="G18" t="s" s="27">
        <v>33</v>
      </c>
      <c r="H18" t="s" s="27">
        <v>20</v>
      </c>
      <c r="I18" t="s" s="27">
        <v>24</v>
      </c>
      <c r="J18" s="28">
        <v>4</v>
      </c>
      <c r="K18" s="29">
        <v>188000</v>
      </c>
      <c r="L18" s="29">
        <f>K18*J18</f>
        <v>752000</v>
      </c>
      <c r="M18" s="29"/>
    </row>
    <row r="19" ht="15.6" customHeight="1">
      <c r="B19" s="24"/>
      <c r="C19" s="25"/>
      <c r="D19" s="26">
        <v>7</v>
      </c>
      <c r="E19" t="s" s="27">
        <v>17</v>
      </c>
      <c r="F19" t="s" s="32">
        <v>34</v>
      </c>
      <c r="G19" t="s" s="27">
        <v>35</v>
      </c>
      <c r="H19" t="s" s="27">
        <v>20</v>
      </c>
      <c r="I19" t="s" s="27">
        <v>36</v>
      </c>
      <c r="J19" s="28">
        <v>2</v>
      </c>
      <c r="K19" s="29">
        <v>488000</v>
      </c>
      <c r="L19" s="29">
        <f>K19*J19</f>
        <v>976000</v>
      </c>
      <c r="M19" s="29"/>
    </row>
    <row r="20" ht="14.35" customHeight="1">
      <c r="B20" s="33"/>
      <c r="C20" s="34"/>
      <c r="D20" s="35">
        <v>8</v>
      </c>
      <c r="E20" t="s" s="36">
        <v>17</v>
      </c>
      <c r="F20" t="s" s="37">
        <v>37</v>
      </c>
      <c r="G20" t="s" s="27">
        <v>38</v>
      </c>
      <c r="H20" t="s" s="27">
        <v>39</v>
      </c>
      <c r="I20" t="s" s="27">
        <v>40</v>
      </c>
      <c r="J20" s="28">
        <v>2</v>
      </c>
      <c r="K20" s="29">
        <v>88000</v>
      </c>
      <c r="L20" s="29">
        <f>K20*J20</f>
        <v>176000</v>
      </c>
      <c r="M20" s="29"/>
    </row>
    <row r="21" ht="27.75" customHeight="1">
      <c r="B21" s="38"/>
      <c r="C21" s="39"/>
      <c r="D21" s="40"/>
      <c r="E21" s="39"/>
      <c r="F21" s="41"/>
      <c r="G21" s="42"/>
      <c r="H21" s="42"/>
      <c r="I21" s="42"/>
      <c r="J21" s="42">
        <f>SUM(J13:J20)</f>
        <v>38</v>
      </c>
      <c r="K21" s="43"/>
      <c r="L21" s="43"/>
      <c r="M21" s="43">
        <f>SUM(L13:L20)</f>
        <v>7784000</v>
      </c>
    </row>
    <row r="22" ht="14.35" customHeight="1">
      <c r="B22" s="44"/>
      <c r="C22" s="45"/>
      <c r="D22" s="46">
        <v>9</v>
      </c>
      <c r="E22" t="s" s="47">
        <v>41</v>
      </c>
      <c r="F22" t="s" s="48">
        <v>42</v>
      </c>
      <c r="G22" t="s" s="49">
        <v>43</v>
      </c>
      <c r="H22" t="s" s="49">
        <v>39</v>
      </c>
      <c r="I22" t="s" s="49">
        <v>44</v>
      </c>
      <c r="J22" s="50">
        <v>9</v>
      </c>
      <c r="K22" s="51">
        <v>108000</v>
      </c>
      <c r="L22" s="51">
        <f>K22*J22</f>
        <v>972000</v>
      </c>
      <c r="M22" s="51"/>
    </row>
    <row r="23" ht="14.35" customHeight="1">
      <c r="B23" s="52"/>
      <c r="C23" s="53"/>
      <c r="D23" s="54">
        <v>10</v>
      </c>
      <c r="E23" t="s" s="49">
        <v>41</v>
      </c>
      <c r="F23" t="s" s="55">
        <v>45</v>
      </c>
      <c r="G23" t="s" s="49">
        <v>38</v>
      </c>
      <c r="H23" t="s" s="49">
        <v>39</v>
      </c>
      <c r="I23" t="s" s="49">
        <v>46</v>
      </c>
      <c r="J23" s="50">
        <v>15</v>
      </c>
      <c r="K23" s="51">
        <v>188000</v>
      </c>
      <c r="L23" s="51">
        <f>K23*J23</f>
        <v>2820000</v>
      </c>
      <c r="M23" s="51"/>
    </row>
    <row r="24" ht="14.35" customHeight="1">
      <c r="B24" s="44"/>
      <c r="C24" s="45"/>
      <c r="D24" s="46">
        <v>11</v>
      </c>
      <c r="E24" t="s" s="47">
        <v>41</v>
      </c>
      <c r="F24" t="s" s="56">
        <v>47</v>
      </c>
      <c r="G24" t="s" s="49">
        <v>48</v>
      </c>
      <c r="H24" t="s" s="49">
        <v>39</v>
      </c>
      <c r="I24" t="s" s="49">
        <v>49</v>
      </c>
      <c r="J24" s="50">
        <v>13</v>
      </c>
      <c r="K24" s="51">
        <v>88000</v>
      </c>
      <c r="L24" s="51">
        <f>K24*J24</f>
        <v>1144000</v>
      </c>
      <c r="M24" s="51"/>
    </row>
    <row r="25" ht="14.35" customHeight="1">
      <c r="B25" s="44"/>
      <c r="C25" s="45"/>
      <c r="D25" s="46">
        <v>12</v>
      </c>
      <c r="E25" t="s" s="47">
        <v>41</v>
      </c>
      <c r="F25" t="s" s="48">
        <v>50</v>
      </c>
      <c r="G25" t="s" s="49">
        <v>38</v>
      </c>
      <c r="H25" t="s" s="49">
        <v>39</v>
      </c>
      <c r="I25" t="s" s="49">
        <v>36</v>
      </c>
      <c r="J25" s="50">
        <v>13</v>
      </c>
      <c r="K25" s="51">
        <v>188000</v>
      </c>
      <c r="L25" s="51">
        <f>K25*J25</f>
        <v>2444000</v>
      </c>
      <c r="M25" s="51"/>
    </row>
    <row r="26" ht="19.2" customHeight="1">
      <c r="B26" s="52"/>
      <c r="C26" s="53"/>
      <c r="D26" s="54">
        <v>13</v>
      </c>
      <c r="E26" t="s" s="49">
        <v>41</v>
      </c>
      <c r="F26" t="s" s="57">
        <v>51</v>
      </c>
      <c r="G26" t="s" s="49">
        <v>52</v>
      </c>
      <c r="H26" t="s" s="49">
        <v>39</v>
      </c>
      <c r="I26" t="s" s="49">
        <v>53</v>
      </c>
      <c r="J26" s="50">
        <v>6</v>
      </c>
      <c r="K26" s="51">
        <v>68000</v>
      </c>
      <c r="L26" s="51">
        <f>K26*J26</f>
        <v>408000</v>
      </c>
      <c r="M26" s="51"/>
    </row>
    <row r="27" ht="14.35" customHeight="1">
      <c r="B27" s="52"/>
      <c r="C27" s="53"/>
      <c r="D27" s="54">
        <v>14</v>
      </c>
      <c r="E27" t="s" s="49">
        <v>41</v>
      </c>
      <c r="F27" t="s" s="49">
        <v>54</v>
      </c>
      <c r="G27" t="s" s="49">
        <v>55</v>
      </c>
      <c r="H27" t="s" s="49">
        <v>39</v>
      </c>
      <c r="I27" t="s" s="49">
        <v>40</v>
      </c>
      <c r="J27" s="50">
        <v>21</v>
      </c>
      <c r="K27" s="51">
        <v>48000</v>
      </c>
      <c r="L27" s="51">
        <f>K27*J27</f>
        <v>1008000</v>
      </c>
      <c r="M27" s="51"/>
    </row>
    <row r="28" ht="14.35" customHeight="1">
      <c r="B28" s="52"/>
      <c r="C28" s="53"/>
      <c r="D28" s="54">
        <v>15</v>
      </c>
      <c r="E28" t="s" s="49">
        <v>41</v>
      </c>
      <c r="F28" t="s" s="49">
        <v>56</v>
      </c>
      <c r="G28" t="s" s="49">
        <v>57</v>
      </c>
      <c r="H28" t="s" s="49">
        <v>58</v>
      </c>
      <c r="I28" t="s" s="49">
        <v>59</v>
      </c>
      <c r="J28" s="50">
        <v>38</v>
      </c>
      <c r="K28" s="51">
        <v>88000</v>
      </c>
      <c r="L28" s="51">
        <f>K28*J28</f>
        <v>3344000</v>
      </c>
      <c r="M28" s="51"/>
    </row>
    <row r="29" ht="14.35" customHeight="1">
      <c r="B29" s="44"/>
      <c r="C29" s="45"/>
      <c r="D29" s="46">
        <v>16</v>
      </c>
      <c r="E29" t="s" s="47">
        <v>41</v>
      </c>
      <c r="F29" t="s" s="48">
        <v>60</v>
      </c>
      <c r="G29" t="s" s="49">
        <v>61</v>
      </c>
      <c r="H29" t="s" s="49">
        <v>39</v>
      </c>
      <c r="I29" t="s" s="49">
        <v>40</v>
      </c>
      <c r="J29" s="50">
        <v>12</v>
      </c>
      <c r="K29" s="51">
        <v>18000</v>
      </c>
      <c r="L29" s="51">
        <f>K29*J29</f>
        <v>216000</v>
      </c>
      <c r="M29" s="51"/>
    </row>
    <row r="30" ht="14.35" customHeight="1">
      <c r="B30" s="52"/>
      <c r="C30" s="53"/>
      <c r="D30" s="54">
        <v>17</v>
      </c>
      <c r="E30" t="s" s="49">
        <v>41</v>
      </c>
      <c r="F30" t="s" s="49">
        <v>62</v>
      </c>
      <c r="G30" t="s" s="49">
        <v>63</v>
      </c>
      <c r="H30" t="s" s="49">
        <v>64</v>
      </c>
      <c r="I30" t="s" s="49">
        <v>65</v>
      </c>
      <c r="J30" s="50">
        <v>40</v>
      </c>
      <c r="K30" s="51">
        <v>48000</v>
      </c>
      <c r="L30" s="51">
        <f>K30*J30</f>
        <v>1920000</v>
      </c>
      <c r="M30" s="51"/>
    </row>
    <row r="31" ht="14.35" customHeight="1">
      <c r="B31" s="52"/>
      <c r="C31" s="53"/>
      <c r="D31" s="54">
        <v>18</v>
      </c>
      <c r="E31" t="s" s="49">
        <v>41</v>
      </c>
      <c r="F31" t="s" s="49">
        <v>66</v>
      </c>
      <c r="G31" t="s" s="49">
        <v>43</v>
      </c>
      <c r="H31" t="s" s="49">
        <v>67</v>
      </c>
      <c r="I31" t="s" s="49">
        <v>65</v>
      </c>
      <c r="J31" s="50">
        <v>50</v>
      </c>
      <c r="K31" s="51">
        <v>28000</v>
      </c>
      <c r="L31" s="51">
        <f>K31*J31</f>
        <v>1400000</v>
      </c>
      <c r="M31" s="51"/>
    </row>
    <row r="32" ht="14.35" customHeight="1">
      <c r="B32" s="52"/>
      <c r="C32" s="53"/>
      <c r="D32" s="54">
        <v>19</v>
      </c>
      <c r="E32" t="s" s="49">
        <v>41</v>
      </c>
      <c r="F32" t="s" s="49">
        <v>68</v>
      </c>
      <c r="G32" t="s" s="49">
        <v>38</v>
      </c>
      <c r="H32" t="s" s="49">
        <v>39</v>
      </c>
      <c r="I32" t="s" s="49">
        <v>69</v>
      </c>
      <c r="J32" s="50">
        <v>20</v>
      </c>
      <c r="K32" s="51">
        <v>33000</v>
      </c>
      <c r="L32" s="51">
        <f>K32*J32</f>
        <v>660000</v>
      </c>
      <c r="M32" s="51"/>
    </row>
    <row r="33" ht="14.35" customHeight="1">
      <c r="B33" s="52"/>
      <c r="C33" s="53"/>
      <c r="D33" s="54">
        <v>20</v>
      </c>
      <c r="E33" t="s" s="49">
        <v>41</v>
      </c>
      <c r="F33" t="s" s="49">
        <v>70</v>
      </c>
      <c r="G33" t="s" s="49">
        <v>38</v>
      </c>
      <c r="H33" t="s" s="49">
        <v>39</v>
      </c>
      <c r="I33" t="s" s="49">
        <v>69</v>
      </c>
      <c r="J33" s="50">
        <v>20</v>
      </c>
      <c r="K33" s="51">
        <v>33000</v>
      </c>
      <c r="L33" s="51">
        <f>K33*J33</f>
        <v>660000</v>
      </c>
      <c r="M33" s="51"/>
    </row>
    <row r="34" ht="14.35" customHeight="1">
      <c r="B34" s="52"/>
      <c r="C34" s="53"/>
      <c r="D34" s="54">
        <v>21</v>
      </c>
      <c r="E34" t="s" s="49">
        <v>41</v>
      </c>
      <c r="F34" t="s" s="49">
        <v>71</v>
      </c>
      <c r="G34" t="s" s="49">
        <v>72</v>
      </c>
      <c r="H34" t="s" s="49">
        <v>73</v>
      </c>
      <c r="I34" t="s" s="49">
        <v>40</v>
      </c>
      <c r="J34" s="50">
        <v>4</v>
      </c>
      <c r="K34" s="51">
        <v>48000</v>
      </c>
      <c r="L34" s="51">
        <f>K34*J34</f>
        <v>192000</v>
      </c>
      <c r="M34" s="51"/>
    </row>
    <row r="35" ht="19.2" customHeight="1">
      <c r="B35" s="52"/>
      <c r="C35" s="53"/>
      <c r="D35" s="54">
        <v>22</v>
      </c>
      <c r="E35" t="s" s="49">
        <v>41</v>
      </c>
      <c r="F35" t="s" s="57">
        <v>74</v>
      </c>
      <c r="G35" t="s" s="49">
        <v>75</v>
      </c>
      <c r="H35" t="s" s="49">
        <v>76</v>
      </c>
      <c r="I35" t="s" s="49">
        <v>77</v>
      </c>
      <c r="J35" s="50">
        <v>54</v>
      </c>
      <c r="K35" s="51">
        <v>8000</v>
      </c>
      <c r="L35" s="51">
        <f>K35*J35</f>
        <v>432000</v>
      </c>
      <c r="M35" s="51"/>
    </row>
    <row r="36" ht="19.2" customHeight="1">
      <c r="B36" s="52"/>
      <c r="C36" s="53"/>
      <c r="D36" s="54">
        <v>23</v>
      </c>
      <c r="E36" t="s" s="49">
        <v>41</v>
      </c>
      <c r="F36" t="s" s="57">
        <v>71</v>
      </c>
      <c r="G36" t="s" s="49">
        <v>78</v>
      </c>
      <c r="H36" t="s" s="49">
        <v>79</v>
      </c>
      <c r="I36" t="s" s="49">
        <v>40</v>
      </c>
      <c r="J36" s="50">
        <v>14</v>
      </c>
      <c r="K36" s="51">
        <v>38000</v>
      </c>
      <c r="L36" s="51">
        <f>K36*J36</f>
        <v>532000</v>
      </c>
      <c r="M36" s="51"/>
    </row>
    <row r="37" ht="21.55" customHeight="1">
      <c r="B37" s="58"/>
      <c r="C37" s="59"/>
      <c r="D37" s="60"/>
      <c r="E37" s="61"/>
      <c r="F37" s="62"/>
      <c r="G37" s="61"/>
      <c r="H37" s="61"/>
      <c r="I37" s="61"/>
      <c r="J37" s="42">
        <f>SUM(J22:J34)</f>
        <v>261</v>
      </c>
      <c r="K37" s="43"/>
      <c r="L37" s="43">
        <f>K37*J37</f>
        <v>0</v>
      </c>
      <c r="M37" s="43">
        <f>SUM(L22:L36)</f>
        <v>18152000</v>
      </c>
    </row>
    <row r="38" ht="14.35" customHeight="1">
      <c r="B38" s="63"/>
      <c r="C38" s="64"/>
      <c r="D38" s="65">
        <v>24</v>
      </c>
      <c r="E38" t="s" s="66">
        <v>80</v>
      </c>
      <c r="F38" t="s" s="66">
        <v>81</v>
      </c>
      <c r="G38" t="s" s="66">
        <v>82</v>
      </c>
      <c r="H38" t="s" s="66">
        <v>73</v>
      </c>
      <c r="I38" t="s" s="66">
        <v>40</v>
      </c>
      <c r="J38" s="67">
        <v>19</v>
      </c>
      <c r="K38" s="68">
        <v>188000</v>
      </c>
      <c r="L38" s="68">
        <f>K38*J38</f>
        <v>3572000</v>
      </c>
      <c r="M38" s="68"/>
    </row>
    <row r="39" ht="14.35" customHeight="1">
      <c r="B39" s="63"/>
      <c r="C39" s="64"/>
      <c r="D39" s="65">
        <v>27</v>
      </c>
      <c r="E39" t="s" s="66">
        <v>80</v>
      </c>
      <c r="F39" t="s" s="66">
        <v>83</v>
      </c>
      <c r="G39" t="s" s="66">
        <v>84</v>
      </c>
      <c r="H39" t="s" s="66">
        <v>73</v>
      </c>
      <c r="I39" t="s" s="66">
        <v>85</v>
      </c>
      <c r="J39" s="67">
        <v>24</v>
      </c>
      <c r="K39" s="68">
        <v>88000</v>
      </c>
      <c r="L39" s="68">
        <f>K39*J39</f>
        <v>2112000</v>
      </c>
      <c r="M39" s="68"/>
    </row>
    <row r="40" ht="14.35" customHeight="1">
      <c r="B40" s="63"/>
      <c r="C40" s="64"/>
      <c r="D40" s="65">
        <v>28</v>
      </c>
      <c r="E40" t="s" s="66">
        <v>80</v>
      </c>
      <c r="F40" t="s" s="66">
        <v>86</v>
      </c>
      <c r="G40" t="s" s="66">
        <v>31</v>
      </c>
      <c r="H40" t="s" s="66">
        <v>87</v>
      </c>
      <c r="I40" t="s" s="66">
        <v>88</v>
      </c>
      <c r="J40" s="67">
        <v>16</v>
      </c>
      <c r="K40" s="68">
        <v>288000</v>
      </c>
      <c r="L40" s="68">
        <f>K40*J40</f>
        <v>4608000</v>
      </c>
      <c r="M40" s="68"/>
    </row>
    <row r="41" ht="14.35" customHeight="1">
      <c r="B41" s="63"/>
      <c r="C41" s="64"/>
      <c r="D41" s="65">
        <v>29</v>
      </c>
      <c r="E41" t="s" s="66">
        <v>80</v>
      </c>
      <c r="F41" t="s" s="66">
        <v>89</v>
      </c>
      <c r="G41" t="s" s="66">
        <v>90</v>
      </c>
      <c r="H41" t="s" s="66">
        <v>67</v>
      </c>
      <c r="I41" t="s" s="66">
        <v>91</v>
      </c>
      <c r="J41" s="67">
        <v>18</v>
      </c>
      <c r="K41" s="68">
        <v>48000</v>
      </c>
      <c r="L41" s="68">
        <f>K41*J41</f>
        <v>864000</v>
      </c>
      <c r="M41" s="68"/>
    </row>
    <row r="42" ht="14.35" customHeight="1">
      <c r="B42" s="63"/>
      <c r="C42" s="64"/>
      <c r="D42" s="65">
        <v>23</v>
      </c>
      <c r="E42" t="s" s="66">
        <v>80</v>
      </c>
      <c r="F42" t="s" s="66">
        <v>92</v>
      </c>
      <c r="G42" t="s" s="66">
        <v>93</v>
      </c>
      <c r="H42" t="s" s="66">
        <v>79</v>
      </c>
      <c r="I42" t="s" s="66">
        <v>40</v>
      </c>
      <c r="J42" s="67">
        <v>8</v>
      </c>
      <c r="K42" s="68">
        <v>108000</v>
      </c>
      <c r="L42" s="68">
        <f>K42*J42</f>
        <v>864000</v>
      </c>
      <c r="M42" s="68"/>
    </row>
    <row r="43" ht="14.35" customHeight="1">
      <c r="B43" s="63"/>
      <c r="C43" s="64"/>
      <c r="D43" s="65">
        <v>24</v>
      </c>
      <c r="E43" t="s" s="66">
        <v>80</v>
      </c>
      <c r="F43" t="s" s="66">
        <v>94</v>
      </c>
      <c r="G43" t="s" s="66">
        <v>93</v>
      </c>
      <c r="H43" t="s" s="66">
        <v>79</v>
      </c>
      <c r="I43" t="s" s="66">
        <v>95</v>
      </c>
      <c r="J43" s="67">
        <v>14</v>
      </c>
      <c r="K43" s="68">
        <v>108000</v>
      </c>
      <c r="L43" s="68">
        <f>K43*J43</f>
        <v>1512000</v>
      </c>
      <c r="M43" s="68"/>
    </row>
    <row r="44" ht="14.35" customHeight="1">
      <c r="B44" s="63"/>
      <c r="C44" s="64"/>
      <c r="D44" s="65">
        <v>25</v>
      </c>
      <c r="E44" t="s" s="66">
        <v>80</v>
      </c>
      <c r="F44" t="s" s="66">
        <v>96</v>
      </c>
      <c r="G44" t="s" s="66">
        <v>97</v>
      </c>
      <c r="H44" t="s" s="66">
        <v>98</v>
      </c>
      <c r="I44" t="s" s="66">
        <v>99</v>
      </c>
      <c r="J44" s="67">
        <v>6</v>
      </c>
      <c r="K44" s="68">
        <v>388000</v>
      </c>
      <c r="L44" s="68">
        <f>K44*J44</f>
        <v>2328000</v>
      </c>
      <c r="M44" s="68"/>
    </row>
    <row r="45" ht="14.35" customHeight="1">
      <c r="B45" s="63"/>
      <c r="C45" s="69"/>
      <c r="D45" s="70">
        <v>26</v>
      </c>
      <c r="E45" t="s" s="66">
        <v>80</v>
      </c>
      <c r="F45" t="s" s="66">
        <v>100</v>
      </c>
      <c r="G45" t="s" s="66">
        <v>101</v>
      </c>
      <c r="H45" t="s" s="66">
        <v>73</v>
      </c>
      <c r="I45" t="s" s="66">
        <v>95</v>
      </c>
      <c r="J45" s="67">
        <v>10</v>
      </c>
      <c r="K45" s="68">
        <v>188000</v>
      </c>
      <c r="L45" s="68">
        <f>K45*J45</f>
        <v>1880000</v>
      </c>
      <c r="M45" s="68"/>
    </row>
    <row r="46" ht="24.7" customHeight="1">
      <c r="B46" s="58"/>
      <c r="C46" s="59"/>
      <c r="D46" s="60"/>
      <c r="E46" s="61"/>
      <c r="F46" s="62"/>
      <c r="G46" s="61"/>
      <c r="H46" s="61"/>
      <c r="I46" s="61"/>
      <c r="J46" s="42">
        <f>SUM(J38:J45)</f>
        <v>115</v>
      </c>
      <c r="K46" s="43"/>
      <c r="L46" s="43">
        <f>K46*J46</f>
        <v>0</v>
      </c>
      <c r="M46" s="43">
        <f>SUM(L38:L45)</f>
        <v>17740000</v>
      </c>
    </row>
    <row r="47" ht="19.2" customHeight="1">
      <c r="B47" s="71"/>
      <c r="C47" s="72"/>
      <c r="D47" s="73">
        <v>30</v>
      </c>
      <c r="E47" t="s" s="74">
        <v>41</v>
      </c>
      <c r="F47" t="s" s="75">
        <v>102</v>
      </c>
      <c r="G47" t="s" s="74">
        <v>103</v>
      </c>
      <c r="H47" t="s" s="74">
        <v>79</v>
      </c>
      <c r="I47" t="s" s="74">
        <v>104</v>
      </c>
      <c r="J47" s="76">
        <v>15</v>
      </c>
      <c r="K47" s="77">
        <v>488000</v>
      </c>
      <c r="L47" s="77">
        <f>K47*J47</f>
        <v>7320000</v>
      </c>
      <c r="M47" s="77"/>
    </row>
    <row r="48" ht="19.2" customHeight="1">
      <c r="B48" s="71"/>
      <c r="C48" s="72"/>
      <c r="D48" s="73">
        <v>31</v>
      </c>
      <c r="E48" t="s" s="74">
        <v>41</v>
      </c>
      <c r="F48" t="s" s="75">
        <v>105</v>
      </c>
      <c r="G48" t="s" s="74">
        <v>103</v>
      </c>
      <c r="H48" t="s" s="74">
        <v>79</v>
      </c>
      <c r="I48" t="s" s="74">
        <v>106</v>
      </c>
      <c r="J48" s="76">
        <v>10</v>
      </c>
      <c r="K48" s="77">
        <v>488000</v>
      </c>
      <c r="L48" s="77">
        <f>K48*J48</f>
        <v>4880000</v>
      </c>
      <c r="M48" s="77"/>
    </row>
    <row r="49" ht="19.2" customHeight="1">
      <c r="B49" s="71"/>
      <c r="C49" s="72"/>
      <c r="D49" s="73">
        <v>32</v>
      </c>
      <c r="E49" t="s" s="74">
        <v>41</v>
      </c>
      <c r="F49" t="s" s="75">
        <v>107</v>
      </c>
      <c r="G49" t="s" s="74">
        <v>108</v>
      </c>
      <c r="H49" t="s" s="74">
        <v>79</v>
      </c>
      <c r="I49" t="s" s="74">
        <v>109</v>
      </c>
      <c r="J49" s="76">
        <v>5</v>
      </c>
      <c r="K49" s="77">
        <v>388000</v>
      </c>
      <c r="L49" s="77">
        <f>K49*J49</f>
        <v>1940000</v>
      </c>
      <c r="M49" s="77"/>
    </row>
    <row r="50" ht="19.2" customHeight="1">
      <c r="B50" s="71"/>
      <c r="C50" s="72"/>
      <c r="D50" s="73">
        <v>35</v>
      </c>
      <c r="E50" t="s" s="74">
        <v>41</v>
      </c>
      <c r="F50" t="s" s="75">
        <v>110</v>
      </c>
      <c r="G50" t="s" s="74">
        <v>111</v>
      </c>
      <c r="H50" t="s" s="74">
        <v>112</v>
      </c>
      <c r="I50" t="s" s="74">
        <v>95</v>
      </c>
      <c r="J50" s="76">
        <v>20</v>
      </c>
      <c r="K50" s="77">
        <v>108000</v>
      </c>
      <c r="L50" s="77">
        <f>K50*J50</f>
        <v>2160000</v>
      </c>
      <c r="M50" s="77"/>
    </row>
    <row r="51" ht="24.9" customHeight="1">
      <c r="B51" s="58"/>
      <c r="C51" s="59"/>
      <c r="D51" s="60"/>
      <c r="E51" s="61"/>
      <c r="F51" s="78"/>
      <c r="G51" s="61"/>
      <c r="H51" s="61"/>
      <c r="I51" s="61"/>
      <c r="J51" s="42">
        <f>SUM(J47:J50)</f>
        <v>50</v>
      </c>
      <c r="K51" s="43"/>
      <c r="L51" s="43"/>
      <c r="M51" s="43">
        <f>SUM(L47:L50)</f>
        <v>16300000</v>
      </c>
    </row>
    <row r="52" ht="43.1" customHeight="1">
      <c r="B52" s="38"/>
      <c r="C52" s="79"/>
      <c r="D52" s="80"/>
      <c r="E52" s="79"/>
      <c r="F52" t="s" s="81">
        <v>113</v>
      </c>
      <c r="G52" s="82"/>
      <c r="H52" s="82"/>
      <c r="I52" s="82"/>
      <c r="J52" s="82">
        <f>J51+J46+J37+J21</f>
        <v>464</v>
      </c>
      <c r="K52" s="83"/>
      <c r="L52" s="83"/>
      <c r="M52" s="83">
        <f>M51+M46+M37+M21</f>
        <v>59976000</v>
      </c>
    </row>
  </sheetData>
  <pageMargins left="0.7875" right="0.7875" top="0.7875" bottom="0.7875" header="0.511806" footer="0.511806"/>
  <pageSetup firstPageNumber="1" fitToHeight="1" fitToWidth="1" scale="100" useFirstPageNumber="0" orientation="landscape" pageOrder="downThenOver"/>
  <headerFooter>
    <oddFooter>&amp;C&amp;"Helvetica Neue,Regular"&amp;12&amp;K000000&amp;P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31"/>
  <sheetViews>
    <sheetView workbookViewId="0" showGridLines="0" defaultGridColor="1"/>
  </sheetViews>
  <sheetFormatPr defaultColWidth="16.3333" defaultRowHeight="13.45" customHeight="1" outlineLevelRow="0" outlineLevelCol="0"/>
  <cols>
    <col min="1" max="9" width="16.3516" style="84" customWidth="1"/>
    <col min="10" max="16384" width="16.3516" style="84" customWidth="1"/>
  </cols>
  <sheetData>
    <row r="1" ht="15.55" customHeight="1">
      <c r="A1" t="s" s="85">
        <v>114</v>
      </c>
      <c r="B1" s="86"/>
      <c r="C1" s="86"/>
      <c r="D1" s="86"/>
      <c r="E1" s="87"/>
      <c r="F1" s="88"/>
      <c r="G1" s="88"/>
      <c r="H1" s="88"/>
      <c r="I1" s="88"/>
    </row>
    <row r="2" ht="13.2" customHeight="1">
      <c r="A2" s="89"/>
      <c r="B2" s="89"/>
      <c r="C2" s="89"/>
      <c r="D2" s="89"/>
      <c r="E2" s="89"/>
      <c r="F2" s="89"/>
      <c r="G2" s="89"/>
      <c r="H2" s="89"/>
      <c r="I2" s="89"/>
    </row>
    <row r="3" ht="13.2" customHeight="1">
      <c r="A3" s="90"/>
      <c r="B3" s="91"/>
      <c r="C3" s="92"/>
      <c r="D3" s="92"/>
      <c r="E3" s="92"/>
      <c r="F3" s="92"/>
      <c r="G3" s="92"/>
      <c r="H3" s="92"/>
      <c r="I3" s="92"/>
    </row>
    <row r="4" ht="13" customHeight="1">
      <c r="A4" s="93"/>
      <c r="B4" s="94"/>
      <c r="C4" s="95"/>
      <c r="D4" s="95"/>
      <c r="E4" s="95"/>
      <c r="F4" s="95"/>
      <c r="G4" s="95"/>
      <c r="H4" s="95"/>
      <c r="I4" s="95"/>
    </row>
    <row r="5" ht="13" customHeight="1">
      <c r="A5" s="93"/>
      <c r="B5" s="94"/>
      <c r="C5" s="95"/>
      <c r="D5" s="95"/>
      <c r="E5" s="95"/>
      <c r="F5" s="95"/>
      <c r="G5" s="95"/>
      <c r="H5" s="95"/>
      <c r="I5" s="95"/>
    </row>
    <row r="6" ht="13" customHeight="1">
      <c r="A6" s="93"/>
      <c r="B6" s="94"/>
      <c r="C6" s="95"/>
      <c r="D6" s="95"/>
      <c r="E6" s="95"/>
      <c r="F6" s="95"/>
      <c r="G6" s="95"/>
      <c r="H6" s="95"/>
      <c r="I6" s="95"/>
    </row>
    <row r="7" ht="13" customHeight="1">
      <c r="A7" s="93"/>
      <c r="B7" s="94"/>
      <c r="C7" s="95"/>
      <c r="D7" s="95"/>
      <c r="E7" s="95"/>
      <c r="F7" s="95"/>
      <c r="G7" s="95"/>
      <c r="H7" s="95"/>
      <c r="I7" s="95"/>
    </row>
    <row r="8" ht="13" customHeight="1">
      <c r="A8" s="93"/>
      <c r="B8" s="94"/>
      <c r="C8" s="95"/>
      <c r="D8" s="95"/>
      <c r="E8" s="95"/>
      <c r="F8" s="95"/>
      <c r="G8" s="95"/>
      <c r="H8" s="95"/>
      <c r="I8" s="95"/>
    </row>
    <row r="9" ht="13" customHeight="1">
      <c r="A9" s="93"/>
      <c r="B9" s="94"/>
      <c r="C9" s="95"/>
      <c r="D9" s="95"/>
      <c r="E9" s="95"/>
      <c r="F9" s="95"/>
      <c r="G9" s="95"/>
      <c r="H9" s="95"/>
      <c r="I9" s="95"/>
    </row>
    <row r="10" ht="13" customHeight="1">
      <c r="A10" s="93"/>
      <c r="B10" s="94"/>
      <c r="C10" s="95"/>
      <c r="D10" s="95"/>
      <c r="E10" s="95"/>
      <c r="F10" s="95"/>
      <c r="G10" s="95"/>
      <c r="H10" s="95"/>
      <c r="I10" s="95"/>
    </row>
    <row r="11" ht="13" customHeight="1">
      <c r="A11" s="93"/>
      <c r="B11" s="94"/>
      <c r="C11" s="95"/>
      <c r="D11" s="95"/>
      <c r="E11" s="95"/>
      <c r="F11" s="95"/>
      <c r="G11" s="95"/>
      <c r="H11" s="95"/>
      <c r="I11" s="95"/>
    </row>
    <row r="12" ht="13" customHeight="1">
      <c r="A12" s="93"/>
      <c r="B12" s="94"/>
      <c r="C12" s="95"/>
      <c r="D12" s="95"/>
      <c r="E12" s="95"/>
      <c r="F12" s="95"/>
      <c r="G12" s="95"/>
      <c r="H12" s="95"/>
      <c r="I12" s="95"/>
    </row>
    <row r="13" ht="13" customHeight="1">
      <c r="A13" s="93"/>
      <c r="B13" s="94"/>
      <c r="C13" s="95"/>
      <c r="D13" s="95"/>
      <c r="E13" s="95"/>
      <c r="F13" s="95"/>
      <c r="G13" s="95"/>
      <c r="H13" s="95"/>
      <c r="I13" s="95"/>
    </row>
    <row r="14" ht="13" customHeight="1">
      <c r="A14" s="93"/>
      <c r="B14" s="94"/>
      <c r="C14" s="95"/>
      <c r="D14" s="95"/>
      <c r="E14" s="95"/>
      <c r="F14" s="95"/>
      <c r="G14" s="95"/>
      <c r="H14" s="95"/>
      <c r="I14" s="95"/>
    </row>
    <row r="15" ht="13" customHeight="1">
      <c r="A15" s="93"/>
      <c r="B15" s="94"/>
      <c r="C15" s="95"/>
      <c r="D15" s="95"/>
      <c r="E15" s="95"/>
      <c r="F15" s="95"/>
      <c r="G15" s="95"/>
      <c r="H15" s="95"/>
      <c r="I15" s="95"/>
    </row>
    <row r="16" ht="13" customHeight="1">
      <c r="A16" s="93"/>
      <c r="B16" s="94"/>
      <c r="C16" s="95"/>
      <c r="D16" s="95"/>
      <c r="E16" s="95"/>
      <c r="F16" s="95"/>
      <c r="G16" s="95"/>
      <c r="H16" s="95"/>
      <c r="I16" s="95"/>
    </row>
    <row r="17" ht="13" customHeight="1">
      <c r="A17" s="93"/>
      <c r="B17" s="94"/>
      <c r="C17" s="95"/>
      <c r="D17" s="95"/>
      <c r="E17" s="95"/>
      <c r="F17" s="95"/>
      <c r="G17" s="95"/>
      <c r="H17" s="95"/>
      <c r="I17" s="95"/>
    </row>
    <row r="18" ht="13" customHeight="1">
      <c r="A18" s="93"/>
      <c r="B18" s="94"/>
      <c r="C18" s="95"/>
      <c r="D18" s="95"/>
      <c r="E18" s="95"/>
      <c r="F18" s="95"/>
      <c r="G18" s="95"/>
      <c r="H18" s="95"/>
      <c r="I18" s="95"/>
    </row>
    <row r="19" ht="13" customHeight="1">
      <c r="A19" s="93"/>
      <c r="B19" s="94"/>
      <c r="C19" s="95"/>
      <c r="D19" s="95"/>
      <c r="E19" s="95"/>
      <c r="F19" s="95"/>
      <c r="G19" s="95"/>
      <c r="H19" s="95"/>
      <c r="I19" s="95"/>
    </row>
    <row r="20" ht="13" customHeight="1">
      <c r="A20" s="93"/>
      <c r="B20" s="94"/>
      <c r="C20" s="95"/>
      <c r="D20" s="95"/>
      <c r="E20" s="95"/>
      <c r="F20" s="95"/>
      <c r="G20" s="95"/>
      <c r="H20" s="95"/>
      <c r="I20" s="95"/>
    </row>
    <row r="21" ht="13" customHeight="1">
      <c r="A21" s="93"/>
      <c r="B21" s="94"/>
      <c r="C21" s="95"/>
      <c r="D21" s="95"/>
      <c r="E21" s="95"/>
      <c r="F21" s="95"/>
      <c r="G21" s="95"/>
      <c r="H21" s="95"/>
      <c r="I21" s="95"/>
    </row>
    <row r="22" ht="13" customHeight="1">
      <c r="A22" s="93"/>
      <c r="B22" s="94"/>
      <c r="C22" s="95"/>
      <c r="D22" s="95"/>
      <c r="E22" s="95"/>
      <c r="F22" s="95"/>
      <c r="G22" s="95"/>
      <c r="H22" s="95"/>
      <c r="I22" s="95"/>
    </row>
    <row r="23" ht="13" customHeight="1">
      <c r="A23" s="93"/>
      <c r="B23" s="94"/>
      <c r="C23" s="95"/>
      <c r="D23" s="95"/>
      <c r="E23" s="95"/>
      <c r="F23" s="95"/>
      <c r="G23" s="95"/>
      <c r="H23" s="95"/>
      <c r="I23" s="95"/>
    </row>
    <row r="24" ht="13" customHeight="1">
      <c r="A24" s="93"/>
      <c r="B24" s="94"/>
      <c r="C24" s="95"/>
      <c r="D24" s="95"/>
      <c r="E24" s="95"/>
      <c r="F24" s="95"/>
      <c r="G24" s="95"/>
      <c r="H24" s="95"/>
      <c r="I24" s="95"/>
    </row>
    <row r="25" ht="13" customHeight="1">
      <c r="A25" s="93"/>
      <c r="B25" s="94"/>
      <c r="C25" s="95"/>
      <c r="D25" s="95"/>
      <c r="E25" s="95"/>
      <c r="F25" s="95"/>
      <c r="G25" s="95"/>
      <c r="H25" s="95"/>
      <c r="I25" s="95"/>
    </row>
    <row r="26" ht="13" customHeight="1">
      <c r="A26" s="93"/>
      <c r="B26" s="94"/>
      <c r="C26" s="95"/>
      <c r="D26" s="95"/>
      <c r="E26" s="95"/>
      <c r="F26" s="95"/>
      <c r="G26" s="95"/>
      <c r="H26" s="95"/>
      <c r="I26" s="95"/>
    </row>
    <row r="27" ht="13" customHeight="1">
      <c r="A27" s="93"/>
      <c r="B27" s="94"/>
      <c r="C27" s="95"/>
      <c r="D27" s="95"/>
      <c r="E27" s="95"/>
      <c r="F27" s="95"/>
      <c r="G27" s="95"/>
      <c r="H27" s="95"/>
      <c r="I27" s="95"/>
    </row>
    <row r="28" ht="13" customHeight="1">
      <c r="A28" s="93"/>
      <c r="B28" s="94"/>
      <c r="C28" s="95"/>
      <c r="D28" s="95"/>
      <c r="E28" s="95"/>
      <c r="F28" s="95"/>
      <c r="G28" s="95"/>
      <c r="H28" s="95"/>
      <c r="I28" s="95"/>
    </row>
    <row r="29" ht="13" customHeight="1">
      <c r="A29" s="93"/>
      <c r="B29" s="94"/>
      <c r="C29" s="95"/>
      <c r="D29" s="95"/>
      <c r="E29" s="95"/>
      <c r="F29" s="95"/>
      <c r="G29" s="95"/>
      <c r="H29" s="95"/>
      <c r="I29" s="95"/>
    </row>
    <row r="30" ht="13" customHeight="1">
      <c r="A30" s="93"/>
      <c r="B30" s="94"/>
      <c r="C30" s="95"/>
      <c r="D30" s="95"/>
      <c r="E30" s="95"/>
      <c r="F30" s="95"/>
      <c r="G30" s="95"/>
      <c r="H30" s="95"/>
      <c r="I30" s="95"/>
    </row>
    <row r="31" ht="13" customHeight="1">
      <c r="A31" s="93"/>
      <c r="B31" s="94"/>
      <c r="C31" s="95"/>
      <c r="D31" s="95"/>
      <c r="E31" s="95"/>
      <c r="F31" s="95"/>
      <c r="G31" s="95"/>
      <c r="H31" s="95"/>
      <c r="I31" s="95"/>
    </row>
  </sheetData>
  <mergeCells count="1">
    <mergeCell ref="A1:E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dimension ref="B2:M11"/>
  <sheetViews>
    <sheetView workbookViewId="0" showGridLines="0" defaultGridColor="1"/>
  </sheetViews>
  <sheetFormatPr defaultColWidth="7.83333" defaultRowHeight="14.65" customHeight="1" outlineLevelRow="0" outlineLevelCol="0"/>
  <cols>
    <col min="1" max="1" width="11.9922" style="96" customWidth="1"/>
    <col min="2" max="2" width="5.53906" style="96" customWidth="1"/>
    <col min="3" max="3" width="23.8516" style="96" customWidth="1"/>
    <col min="4" max="4" width="22.8906" style="96" customWidth="1"/>
    <col min="5" max="5" width="21.7109" style="96" customWidth="1"/>
    <col min="6" max="6" width="63.6719" style="96" customWidth="1"/>
    <col min="7" max="7" width="25.1719" style="96" customWidth="1"/>
    <col min="8" max="8" width="22.4922" style="96" customWidth="1"/>
    <col min="9" max="9" width="18.0938" style="96" customWidth="1"/>
    <col min="10" max="10" width="7.35156" style="96" customWidth="1"/>
    <col min="11" max="12" width="10.6719" style="96" customWidth="1"/>
    <col min="13" max="13" width="17.8828" style="96" customWidth="1"/>
    <col min="14" max="16384" width="7.85156" style="96" customWidth="1"/>
  </cols>
  <sheetData>
    <row r="1" ht="32.7" customHeight="1"/>
    <row r="2" ht="15.6" customHeight="1">
      <c r="B2" s="2"/>
      <c r="C2" s="3"/>
      <c r="D2" s="4"/>
      <c r="E2" s="3"/>
      <c r="F2" s="3"/>
      <c r="G2" s="3"/>
      <c r="H2" s="3"/>
      <c r="I2" s="3"/>
      <c r="J2" s="3"/>
      <c r="K2" s="3"/>
      <c r="L2" s="3"/>
      <c r="M2" s="3"/>
    </row>
    <row r="3" ht="23.35" customHeight="1">
      <c r="B3" s="2"/>
      <c r="C3" t="s" s="5">
        <v>0</v>
      </c>
      <c r="D3" t="s" s="5">
        <v>1</v>
      </c>
      <c r="E3" s="3"/>
      <c r="F3" s="3"/>
      <c r="G3" s="3"/>
      <c r="H3" s="3"/>
      <c r="I3" s="3"/>
      <c r="J3" s="3"/>
      <c r="K3" s="3"/>
      <c r="L3" s="3"/>
      <c r="M3" s="3"/>
    </row>
    <row r="4" ht="15.1" customHeight="1">
      <c r="B4" s="2"/>
      <c r="C4" s="13"/>
      <c r="D4" s="14"/>
      <c r="E4" s="13"/>
      <c r="F4" s="13"/>
      <c r="G4" s="15"/>
      <c r="H4" s="15"/>
      <c r="I4" s="15"/>
      <c r="J4" s="15"/>
      <c r="K4" s="16"/>
      <c r="L4" s="16"/>
      <c r="M4" s="16"/>
    </row>
    <row r="5" ht="23.65" customHeight="1">
      <c r="B5" s="17"/>
      <c r="C5" t="s" s="18">
        <v>8</v>
      </c>
      <c r="D5" t="s" s="18">
        <v>9</v>
      </c>
      <c r="E5" t="s" s="18">
        <v>10</v>
      </c>
      <c r="F5" t="s" s="18">
        <v>11</v>
      </c>
      <c r="G5" s="18"/>
      <c r="H5" t="s" s="18">
        <v>12</v>
      </c>
      <c r="I5" t="s" s="18">
        <v>13</v>
      </c>
      <c r="J5" t="s" s="18">
        <v>14</v>
      </c>
      <c r="K5" t="s" s="19">
        <v>15</v>
      </c>
      <c r="L5" t="s" s="19">
        <v>16</v>
      </c>
      <c r="M5" s="19"/>
    </row>
    <row r="6" ht="25.4" customHeight="1">
      <c r="B6" s="17"/>
      <c r="C6" s="97"/>
      <c r="D6" s="98"/>
      <c r="E6" s="99"/>
      <c r="F6" t="s" s="100">
        <v>115</v>
      </c>
      <c r="G6" s="99"/>
      <c r="H6" s="99"/>
      <c r="I6" s="99"/>
      <c r="J6" s="101"/>
      <c r="K6" s="102"/>
      <c r="L6" s="102"/>
      <c r="M6" s="102"/>
    </row>
    <row r="7" ht="25.4" customHeight="1">
      <c r="B7" s="17"/>
      <c r="C7" s="97"/>
      <c r="D7" s="98"/>
      <c r="E7" s="99"/>
      <c r="F7" s="100"/>
      <c r="G7" s="99"/>
      <c r="H7" s="99"/>
      <c r="I7" s="99"/>
      <c r="J7" s="101"/>
      <c r="K7" s="102"/>
      <c r="L7" s="102"/>
      <c r="M7" s="102"/>
    </row>
    <row r="8" ht="25.4" customHeight="1">
      <c r="B8" s="17"/>
      <c r="C8" s="97"/>
      <c r="D8" s="98"/>
      <c r="E8" s="99"/>
      <c r="F8" s="100"/>
      <c r="G8" s="99"/>
      <c r="H8" s="99"/>
      <c r="I8" s="99"/>
      <c r="J8" s="101"/>
      <c r="K8" s="102"/>
      <c r="L8" s="102"/>
      <c r="M8" s="102"/>
    </row>
    <row r="9" ht="25.4" customHeight="1">
      <c r="B9" s="17"/>
      <c r="C9" s="97"/>
      <c r="D9" s="98"/>
      <c r="E9" s="99"/>
      <c r="F9" s="100"/>
      <c r="G9" s="99"/>
      <c r="H9" s="99"/>
      <c r="I9" s="99"/>
      <c r="J9" s="101"/>
      <c r="K9" s="102"/>
      <c r="L9" s="102"/>
      <c r="M9" s="102"/>
    </row>
    <row r="10" ht="25.4" customHeight="1">
      <c r="B10" s="17"/>
      <c r="C10" s="97"/>
      <c r="D10" s="98"/>
      <c r="E10" s="99"/>
      <c r="F10" s="100"/>
      <c r="G10" s="99"/>
      <c r="H10" s="99"/>
      <c r="I10" s="99"/>
      <c r="J10" s="101"/>
      <c r="K10" s="102"/>
      <c r="L10" s="102"/>
      <c r="M10" s="102"/>
    </row>
    <row r="11" ht="43.1" customHeight="1">
      <c r="B11" s="2"/>
      <c r="C11" s="103"/>
      <c r="D11" s="104"/>
      <c r="E11" s="103"/>
      <c r="F11" t="s" s="105">
        <v>113</v>
      </c>
      <c r="G11" s="106"/>
      <c r="H11" s="106"/>
      <c r="I11" s="106"/>
      <c r="J11" s="106"/>
      <c r="K11" s="107"/>
      <c r="L11" s="107"/>
      <c r="M11" s="107"/>
    </row>
  </sheetData>
  <pageMargins left="0.7875" right="0.7875" top="0.7875" bottom="0.7875" header="0.511806" footer="0.511806"/>
  <pageSetup firstPageNumber="1" fitToHeight="1" fitToWidth="1" scale="100" useFirstPageNumber="0" orientation="landscape" pageOrder="downThenOver"/>
  <headerFooter>
    <oddFooter>&amp;C&amp;"Helvetica Neue,Regular"&amp;12&amp;K000000&amp;P</oddFooter>
  </headerFooter>
</worksheet>
</file>

<file path=xl/worksheets/sheet4.xml><?xml version="1.0" encoding="utf-8"?>
<worksheet xmlns:r="http://schemas.openxmlformats.org/officeDocument/2006/relationships" xmlns="http://schemas.openxmlformats.org/spreadsheetml/2006/main">
  <sheetPr>
    <pageSetUpPr fitToPage="1"/>
  </sheetPr>
  <dimension ref="B2:H21"/>
  <sheetViews>
    <sheetView workbookViewId="0" showGridLines="0" defaultGridColor="1"/>
  </sheetViews>
  <sheetFormatPr defaultColWidth="16.3333" defaultRowHeight="13.45" customHeight="1" outlineLevelRow="0" outlineLevelCol="0"/>
  <cols>
    <col min="1" max="1" width="10.5312" style="108" customWidth="1"/>
    <col min="2" max="8" width="16.3516" style="108" customWidth="1"/>
    <col min="9" max="16384" width="16.3516" style="108" customWidth="1"/>
  </cols>
  <sheetData>
    <row r="1" ht="48.8" customHeight="1"/>
    <row r="2" ht="15.55" customHeight="1">
      <c r="B2" t="s" s="85">
        <v>114</v>
      </c>
      <c r="C2" s="86"/>
      <c r="D2" s="86"/>
      <c r="E2" s="86"/>
      <c r="F2" s="87"/>
      <c r="G2" s="88"/>
      <c r="H2" s="88"/>
    </row>
    <row r="3" ht="13.2" customHeight="1">
      <c r="B3" s="89"/>
      <c r="C3" s="89"/>
      <c r="D3" s="89"/>
      <c r="E3" s="89"/>
      <c r="F3" s="89"/>
      <c r="G3" s="89"/>
      <c r="H3" s="89"/>
    </row>
    <row r="4" ht="16.45" customHeight="1">
      <c r="B4" s="90"/>
      <c r="C4" s="91"/>
      <c r="D4" s="92"/>
      <c r="E4" s="92"/>
      <c r="F4" s="92"/>
      <c r="G4" s="92"/>
      <c r="H4" s="92"/>
    </row>
    <row r="5" ht="16.2" customHeight="1">
      <c r="B5" s="93"/>
      <c r="C5" s="94"/>
      <c r="D5" s="95"/>
      <c r="E5" s="95"/>
      <c r="F5" s="95"/>
      <c r="G5" s="95"/>
      <c r="H5" s="95"/>
    </row>
    <row r="6" ht="16.2" customHeight="1">
      <c r="B6" s="93"/>
      <c r="C6" s="94"/>
      <c r="D6" s="95"/>
      <c r="E6" s="95"/>
      <c r="F6" s="95"/>
      <c r="G6" s="95"/>
      <c r="H6" s="95"/>
    </row>
    <row r="7" ht="16.2" customHeight="1">
      <c r="B7" s="93"/>
      <c r="C7" s="94"/>
      <c r="D7" s="95"/>
      <c r="E7" s="95"/>
      <c r="F7" s="95"/>
      <c r="G7" s="95"/>
      <c r="H7" s="95"/>
    </row>
    <row r="8" ht="16.2" customHeight="1">
      <c r="B8" s="93"/>
      <c r="C8" s="94"/>
      <c r="D8" s="95"/>
      <c r="E8" s="95"/>
      <c r="F8" s="95"/>
      <c r="G8" s="95"/>
      <c r="H8" s="95"/>
    </row>
    <row r="9" ht="16.2" customHeight="1">
      <c r="B9" s="93"/>
      <c r="C9" s="94"/>
      <c r="D9" s="95"/>
      <c r="E9" s="95"/>
      <c r="F9" s="95"/>
      <c r="G9" s="95"/>
      <c r="H9" s="95"/>
    </row>
    <row r="10" ht="16.2" customHeight="1">
      <c r="B10" s="93"/>
      <c r="C10" s="94"/>
      <c r="D10" s="95"/>
      <c r="E10" s="95"/>
      <c r="F10" s="95"/>
      <c r="G10" s="95"/>
      <c r="H10" s="95"/>
    </row>
    <row r="11" ht="16.2" customHeight="1">
      <c r="B11" s="93"/>
      <c r="C11" s="94"/>
      <c r="D11" s="95"/>
      <c r="E11" s="95"/>
      <c r="F11" s="95"/>
      <c r="G11" s="95"/>
      <c r="H11" s="95"/>
    </row>
    <row r="12" ht="16.2" customHeight="1">
      <c r="B12" s="93"/>
      <c r="C12" s="94"/>
      <c r="D12" s="95"/>
      <c r="E12" s="95"/>
      <c r="F12" s="95"/>
      <c r="G12" s="95"/>
      <c r="H12" s="95"/>
    </row>
    <row r="13" ht="16.2" customHeight="1">
      <c r="B13" s="93"/>
      <c r="C13" s="94"/>
      <c r="D13" s="95"/>
      <c r="E13" s="95"/>
      <c r="F13" s="95"/>
      <c r="G13" s="95"/>
      <c r="H13" s="95"/>
    </row>
    <row r="14" ht="16.2" customHeight="1">
      <c r="B14" s="93"/>
      <c r="C14" s="94"/>
      <c r="D14" s="95"/>
      <c r="E14" s="95"/>
      <c r="F14" s="95"/>
      <c r="G14" s="95"/>
      <c r="H14" s="95"/>
    </row>
    <row r="15" ht="16.2" customHeight="1">
      <c r="B15" s="93"/>
      <c r="C15" s="94"/>
      <c r="D15" s="95"/>
      <c r="E15" s="95"/>
      <c r="F15" s="95"/>
      <c r="G15" s="95"/>
      <c r="H15" s="95"/>
    </row>
    <row r="16" ht="16.2" customHeight="1">
      <c r="B16" s="93"/>
      <c r="C16" s="94"/>
      <c r="D16" s="95"/>
      <c r="E16" s="95"/>
      <c r="F16" s="95"/>
      <c r="G16" s="95"/>
      <c r="H16" s="95"/>
    </row>
    <row r="17" ht="16.2" customHeight="1">
      <c r="B17" s="93"/>
      <c r="C17" s="94"/>
      <c r="D17" s="95"/>
      <c r="E17" s="95"/>
      <c r="F17" s="95"/>
      <c r="G17" s="95"/>
      <c r="H17" s="95"/>
    </row>
    <row r="18" ht="16.2" customHeight="1">
      <c r="B18" s="93"/>
      <c r="C18" s="94"/>
      <c r="D18" s="95"/>
      <c r="E18" s="95"/>
      <c r="F18" s="95"/>
      <c r="G18" s="95"/>
      <c r="H18" s="95"/>
    </row>
    <row r="19" ht="16.2" customHeight="1">
      <c r="B19" s="93"/>
      <c r="C19" s="94"/>
      <c r="D19" s="95"/>
      <c r="E19" s="95"/>
      <c r="F19" s="95"/>
      <c r="G19" s="95"/>
      <c r="H19" s="95"/>
    </row>
    <row r="20" ht="16.2" customHeight="1">
      <c r="B20" s="93"/>
      <c r="C20" s="94"/>
      <c r="D20" s="95"/>
      <c r="E20" s="95"/>
      <c r="F20" s="95"/>
      <c r="G20" s="95"/>
      <c r="H20" s="95"/>
    </row>
    <row r="21" ht="16.2" customHeight="1">
      <c r="B21" s="93"/>
      <c r="C21" s="94"/>
      <c r="D21" s="95"/>
      <c r="E21" s="95"/>
      <c r="F21" s="95"/>
      <c r="G21" s="95"/>
      <c r="H21" s="95"/>
    </row>
  </sheetData>
  <mergeCells count="1">
    <mergeCell ref="B2:F2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5.xml><?xml version="1.0" encoding="utf-8"?>
<worksheet xmlns:r="http://schemas.openxmlformats.org/officeDocument/2006/relationships" xmlns="http://schemas.openxmlformats.org/spreadsheetml/2006/main">
  <sheetPr>
    <pageSetUpPr fitToPage="1"/>
  </sheetPr>
  <dimension ref="A1:E11"/>
  <sheetViews>
    <sheetView workbookViewId="0" showGridLines="0" defaultGridColor="1"/>
  </sheetViews>
  <sheetFormatPr defaultColWidth="16.3333" defaultRowHeight="13.45" customHeight="1" outlineLevelRow="0" outlineLevelCol="0"/>
  <cols>
    <col min="1" max="5" width="16.3516" style="109" customWidth="1"/>
    <col min="6" max="16384" width="16.3516" style="109" customWidth="1"/>
  </cols>
  <sheetData>
    <row r="1" ht="15.55" customHeight="1">
      <c r="A1" t="s" s="85">
        <v>114</v>
      </c>
      <c r="B1" s="86"/>
      <c r="C1" s="86"/>
      <c r="D1" s="86"/>
      <c r="E1" s="87"/>
    </row>
    <row r="2" ht="13.2" customHeight="1">
      <c r="A2" s="89"/>
      <c r="B2" s="89"/>
      <c r="C2" s="89"/>
      <c r="D2" s="89"/>
      <c r="E2" s="89"/>
    </row>
    <row r="3" ht="13.2" customHeight="1">
      <c r="A3" s="90"/>
      <c r="B3" s="91"/>
      <c r="C3" s="92"/>
      <c r="D3" s="92"/>
      <c r="E3" s="92"/>
    </row>
    <row r="4" ht="13" customHeight="1">
      <c r="A4" s="93"/>
      <c r="B4" s="94"/>
      <c r="C4" s="95"/>
      <c r="D4" s="95"/>
      <c r="E4" s="95"/>
    </row>
    <row r="5" ht="13" customHeight="1">
      <c r="A5" s="93"/>
      <c r="B5" s="94"/>
      <c r="C5" s="95"/>
      <c r="D5" s="95"/>
      <c r="E5" s="95"/>
    </row>
    <row r="6" ht="13" customHeight="1">
      <c r="A6" s="93"/>
      <c r="B6" s="94"/>
      <c r="C6" s="95"/>
      <c r="D6" s="95"/>
      <c r="E6" s="95"/>
    </row>
    <row r="7" ht="13" customHeight="1">
      <c r="A7" s="93"/>
      <c r="B7" s="94"/>
      <c r="C7" s="95"/>
      <c r="D7" s="95"/>
      <c r="E7" s="95"/>
    </row>
    <row r="8" ht="13" customHeight="1">
      <c r="A8" s="93"/>
      <c r="B8" s="94"/>
      <c r="C8" s="95"/>
      <c r="D8" s="95"/>
      <c r="E8" s="95"/>
    </row>
    <row r="9" ht="13" customHeight="1">
      <c r="A9" s="93"/>
      <c r="B9" s="94"/>
      <c r="C9" s="95"/>
      <c r="D9" s="95"/>
      <c r="E9" s="95"/>
    </row>
    <row r="10" ht="13" customHeight="1">
      <c r="A10" s="93"/>
      <c r="B10" s="94"/>
      <c r="C10" s="95"/>
      <c r="D10" s="95"/>
      <c r="E10" s="95"/>
    </row>
    <row r="11" ht="13" customHeight="1">
      <c r="A11" s="93"/>
      <c r="B11" s="94"/>
      <c r="C11" s="95"/>
      <c r="D11" s="95"/>
      <c r="E11" s="95"/>
    </row>
  </sheetData>
  <mergeCells count="1">
    <mergeCell ref="A1:E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6.xml><?xml version="1.0" encoding="utf-8"?>
<worksheet xmlns:r="http://schemas.openxmlformats.org/officeDocument/2006/relationships" xmlns="http://schemas.openxmlformats.org/spreadsheetml/2006/main">
  <sheetPr>
    <pageSetUpPr fitToPage="1"/>
  </sheetPr>
  <dimension ref="A1:E11"/>
  <sheetViews>
    <sheetView workbookViewId="0" showGridLines="0" defaultGridColor="1"/>
  </sheetViews>
  <sheetFormatPr defaultColWidth="16.3333" defaultRowHeight="13.45" customHeight="1" outlineLevelRow="0" outlineLevelCol="0"/>
  <cols>
    <col min="1" max="5" width="16.3516" style="110" customWidth="1"/>
    <col min="6" max="16384" width="16.3516" style="110" customWidth="1"/>
  </cols>
  <sheetData>
    <row r="1" ht="15.55" customHeight="1">
      <c r="A1" t="s" s="85">
        <v>114</v>
      </c>
      <c r="B1" s="86"/>
      <c r="C1" s="86"/>
      <c r="D1" s="86"/>
      <c r="E1" s="87"/>
    </row>
    <row r="2" ht="13.2" customHeight="1">
      <c r="A2" s="89"/>
      <c r="B2" s="89"/>
      <c r="C2" s="89"/>
      <c r="D2" s="89"/>
      <c r="E2" s="89"/>
    </row>
    <row r="3" ht="13.2" customHeight="1">
      <c r="A3" s="90"/>
      <c r="B3" s="91"/>
      <c r="C3" s="92"/>
      <c r="D3" s="92"/>
      <c r="E3" s="92"/>
    </row>
    <row r="4" ht="13" customHeight="1">
      <c r="A4" s="93"/>
      <c r="B4" s="94"/>
      <c r="C4" s="95"/>
      <c r="D4" s="95"/>
      <c r="E4" s="95"/>
    </row>
    <row r="5" ht="13" customHeight="1">
      <c r="A5" s="93"/>
      <c r="B5" s="94"/>
      <c r="C5" s="95"/>
      <c r="D5" s="95"/>
      <c r="E5" s="95"/>
    </row>
    <row r="6" ht="13" customHeight="1">
      <c r="A6" s="93"/>
      <c r="B6" s="94"/>
      <c r="C6" s="95"/>
      <c r="D6" s="95"/>
      <c r="E6" s="95"/>
    </row>
    <row r="7" ht="13" customHeight="1">
      <c r="A7" s="93"/>
      <c r="B7" s="94"/>
      <c r="C7" s="95"/>
      <c r="D7" s="95"/>
      <c r="E7" s="95"/>
    </row>
    <row r="8" ht="13" customHeight="1">
      <c r="A8" s="93"/>
      <c r="B8" s="94"/>
      <c r="C8" s="95"/>
      <c r="D8" s="95"/>
      <c r="E8" s="95"/>
    </row>
    <row r="9" ht="13" customHeight="1">
      <c r="A9" s="93"/>
      <c r="B9" s="94"/>
      <c r="C9" s="95"/>
      <c r="D9" s="95"/>
      <c r="E9" s="95"/>
    </row>
    <row r="10" ht="13" customHeight="1">
      <c r="A10" s="93"/>
      <c r="B10" s="94"/>
      <c r="C10" s="95"/>
      <c r="D10" s="95"/>
      <c r="E10" s="95"/>
    </row>
    <row r="11" ht="13" customHeight="1">
      <c r="A11" s="93"/>
      <c r="B11" s="94"/>
      <c r="C11" s="95"/>
      <c r="D11" s="95"/>
      <c r="E11" s="95"/>
    </row>
  </sheetData>
  <mergeCells count="1">
    <mergeCell ref="A1:E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7.xml><?xml version="1.0" encoding="utf-8"?>
<worksheet xmlns:r="http://schemas.openxmlformats.org/officeDocument/2006/relationships" xmlns="http://schemas.openxmlformats.org/spreadsheetml/2006/main">
  <sheetPr>
    <pageSetUpPr fitToPage="1"/>
  </sheetPr>
  <dimension ref="A1:E11"/>
  <sheetViews>
    <sheetView workbookViewId="0" showGridLines="0" defaultGridColor="1"/>
  </sheetViews>
  <sheetFormatPr defaultColWidth="16.3333" defaultRowHeight="13.45" customHeight="1" outlineLevelRow="0" outlineLevelCol="0"/>
  <cols>
    <col min="1" max="5" width="16.3516" style="111" customWidth="1"/>
    <col min="6" max="16384" width="16.3516" style="111" customWidth="1"/>
  </cols>
  <sheetData>
    <row r="1" ht="15.55" customHeight="1">
      <c r="A1" t="s" s="85">
        <v>114</v>
      </c>
      <c r="B1" s="86"/>
      <c r="C1" s="86"/>
      <c r="D1" s="86"/>
      <c r="E1" s="87"/>
    </row>
    <row r="2" ht="13.2" customHeight="1">
      <c r="A2" s="89"/>
      <c r="B2" s="89"/>
      <c r="C2" s="89"/>
      <c r="D2" s="89"/>
      <c r="E2" s="89"/>
    </row>
    <row r="3" ht="13.2" customHeight="1">
      <c r="A3" s="90"/>
      <c r="B3" s="91"/>
      <c r="C3" s="92"/>
      <c r="D3" s="92"/>
      <c r="E3" s="92"/>
    </row>
    <row r="4" ht="13" customHeight="1">
      <c r="A4" s="93"/>
      <c r="B4" s="94"/>
      <c r="C4" s="95"/>
      <c r="D4" s="95"/>
      <c r="E4" s="95"/>
    </row>
    <row r="5" ht="13" customHeight="1">
      <c r="A5" s="93"/>
      <c r="B5" s="94"/>
      <c r="C5" s="95"/>
      <c r="D5" s="95"/>
      <c r="E5" s="95"/>
    </row>
    <row r="6" ht="13" customHeight="1">
      <c r="A6" s="93"/>
      <c r="B6" s="94"/>
      <c r="C6" s="95"/>
      <c r="D6" s="95"/>
      <c r="E6" s="95"/>
    </row>
    <row r="7" ht="13" customHeight="1">
      <c r="A7" s="93"/>
      <c r="B7" s="94"/>
      <c r="C7" s="95"/>
      <c r="D7" s="95"/>
      <c r="E7" s="95"/>
    </row>
    <row r="8" ht="13" customHeight="1">
      <c r="A8" s="93"/>
      <c r="B8" s="94"/>
      <c r="C8" s="95"/>
      <c r="D8" s="95"/>
      <c r="E8" s="95"/>
    </row>
    <row r="9" ht="13" customHeight="1">
      <c r="A9" s="93"/>
      <c r="B9" s="94"/>
      <c r="C9" s="95"/>
      <c r="D9" s="95"/>
      <c r="E9" s="95"/>
    </row>
    <row r="10" ht="13" customHeight="1">
      <c r="A10" s="93"/>
      <c r="B10" s="94"/>
      <c r="C10" s="95"/>
      <c r="D10" s="95"/>
      <c r="E10" s="95"/>
    </row>
    <row r="11" ht="13" customHeight="1">
      <c r="A11" s="93"/>
      <c r="B11" s="94"/>
      <c r="C11" s="95"/>
      <c r="D11" s="95"/>
      <c r="E11" s="95"/>
    </row>
  </sheetData>
  <mergeCells count="1">
    <mergeCell ref="A1:E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